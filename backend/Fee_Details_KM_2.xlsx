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ursery" sheetId="1" r:id="rId5"/>
    <sheet name="JKG New" sheetId="2" r:id="rId6"/>
    <sheet name="SKG New " sheetId="3" r:id="rId7"/>
    <sheet name="Ist New Class " sheetId="4" r:id="rId8"/>
    <sheet name="IInd New" sheetId="5" r:id="rId9"/>
    <sheet name="IIIrd New" sheetId="6" r:id="rId10"/>
    <sheet name="IVth New" sheetId="7" r:id="rId11"/>
    <sheet name="Vth New" sheetId="8" r:id="rId12"/>
    <sheet name="VI New" sheetId="9" r:id="rId13"/>
    <sheet name="VIIth New" sheetId="10" r:id="rId14"/>
    <sheet name="Sheet9" sheetId="11" r:id="rId1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<sst xmlns="http://schemas.openxmlformats.org/spreadsheetml/2006/main" uniqueCount="747">
  <si>
    <r>
      <rPr>
        <b val="1"/>
        <sz val="18"/>
        <color indexed="8"/>
        <rFont val="Calibri"/>
      </rPr>
      <t>Nursery</t>
    </r>
    <r>
      <rPr>
        <b val="1"/>
        <sz val="18"/>
        <color indexed="9"/>
        <rFont val="Calibri"/>
      </rPr>
      <t xml:space="preserve">  Class  Academic Year 2026-2027</t>
    </r>
  </si>
  <si>
    <t>Sr. No.</t>
  </si>
  <si>
    <t>Student Detail</t>
  </si>
  <si>
    <t xml:space="preserve">Total Amount </t>
  </si>
  <si>
    <t>Ayush Yadav</t>
  </si>
  <si>
    <t>Tun.Fee</t>
  </si>
  <si>
    <t>R.No.</t>
  </si>
  <si>
    <t>Adm.Fee</t>
  </si>
  <si>
    <t>Rs.</t>
  </si>
  <si>
    <t>Annual Fee</t>
  </si>
  <si>
    <t>Date:</t>
  </si>
  <si>
    <t>02.04.26</t>
  </si>
  <si>
    <t>14.05.26</t>
  </si>
  <si>
    <t>S/o Rakesh Kumar Yadav</t>
  </si>
  <si>
    <t>Bus Fee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</si>
  <si>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8470002521</t>
    </r>
  </si>
  <si>
    <t>Mohd.Adnan</t>
  </si>
  <si>
    <t>07.04.26</t>
  </si>
  <si>
    <t>S/o Mohd.Rizwan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</si>
  <si>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8052706005</t>
    </r>
  </si>
  <si>
    <t>07.04.25</t>
  </si>
  <si>
    <t>Anshul Yadav</t>
  </si>
  <si>
    <t>Sibbling</t>
  </si>
  <si>
    <t>08.04.26</t>
  </si>
  <si>
    <t>09.05.26</t>
  </si>
  <si>
    <t>S/o Indrasen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</si>
  <si>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8765443006</t>
    </r>
  </si>
  <si>
    <t>Aadesh Yadav</t>
  </si>
  <si>
    <t>S/o Rajesh Kumar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</si>
  <si>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9125969380</t>
    </r>
  </si>
  <si>
    <t>Raunak Pandey</t>
  </si>
  <si>
    <t>10.04.26</t>
  </si>
  <si>
    <t>S/o Ravi Pandey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</si>
  <si>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8604175628</t>
    </r>
  </si>
  <si>
    <t>Subhan Husain</t>
  </si>
  <si>
    <t>21.05.26</t>
  </si>
  <si>
    <t>S/o Saddam Husain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</si>
  <si>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8898700645</t>
    </r>
  </si>
  <si>
    <t>Manvendra Tripathi</t>
  </si>
  <si>
    <t>15.04.26</t>
  </si>
  <si>
    <t>S/o Satyam Tripathi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</si>
  <si>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9044113837</t>
    </r>
  </si>
  <si>
    <t>Arnav Tripathi</t>
  </si>
  <si>
    <t>S/o Ashutosh Tripathi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</si>
  <si>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9415137406</t>
    </r>
  </si>
  <si>
    <t>Raman</t>
  </si>
  <si>
    <t>w.e.f May</t>
  </si>
  <si>
    <t>24.04.26</t>
  </si>
  <si>
    <t>S/o Raju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</si>
  <si>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9876913243</t>
    </r>
  </si>
  <si>
    <t>Aaradhya Singh</t>
  </si>
  <si>
    <t>07.05.26</t>
  </si>
  <si>
    <t>D/o Pooja Singh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</si>
  <si>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8726632807</t>
    </r>
  </si>
  <si>
    <t>Divyansh</t>
  </si>
  <si>
    <t>11.05.26</t>
  </si>
  <si>
    <t>S/o Satya Prakash</t>
  </si>
  <si>
    <t>Mo-7379548120</t>
  </si>
  <si>
    <t>JKG  Class  Academic Year 2026-2027</t>
  </si>
  <si>
    <t>Ayansh Pal</t>
  </si>
  <si>
    <t>Siblings</t>
  </si>
  <si>
    <t xml:space="preserve">S/o kuljeet 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</si>
  <si>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7309986549</t>
    </r>
  </si>
  <si>
    <t>Aksharansh Soni</t>
  </si>
  <si>
    <t>15.05.26</t>
  </si>
  <si>
    <t>S/o Avinash Soni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</si>
  <si>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6390422405</t>
    </r>
  </si>
  <si>
    <t>Arsh Ali</t>
  </si>
  <si>
    <t>New</t>
  </si>
  <si>
    <t>Sibling</t>
  </si>
  <si>
    <t>13.04.26</t>
  </si>
  <si>
    <t>S/o Safat Ahmad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</si>
  <si>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9839229595</t>
    </r>
  </si>
  <si>
    <t>Mohd.Sharif</t>
  </si>
  <si>
    <t>16.04.26</t>
  </si>
  <si>
    <t>S/o Mohd.Hakim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</si>
  <si>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7860475838</t>
    </r>
  </si>
  <si>
    <t>Izra Fatima</t>
  </si>
  <si>
    <t>D/o Iqbal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</si>
  <si>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9129695754</t>
    </r>
  </si>
  <si>
    <t>Vamika Yadav</t>
  </si>
  <si>
    <t>11.04.26</t>
  </si>
  <si>
    <t>D/o vijay prakash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</si>
  <si>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9918831806</t>
    </r>
  </si>
  <si>
    <t>Kavya Chaurasiya</t>
  </si>
  <si>
    <t>13.05.26</t>
  </si>
  <si>
    <t>08.06.26</t>
  </si>
  <si>
    <t>D/o Brij Kishore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</si>
  <si>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7390015931</t>
    </r>
  </si>
  <si>
    <t>Shaurya Yadav</t>
  </si>
  <si>
    <t xml:space="preserve">S/o Mulayam Singh Yadav 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</si>
  <si>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7800098405</t>
    </r>
  </si>
  <si>
    <t>Vedanshi Pathak</t>
  </si>
  <si>
    <t>09.04.26</t>
  </si>
  <si>
    <t>D/o Manoj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</si>
  <si>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9795256006</t>
    </r>
  </si>
  <si>
    <t>Ojas Yadav</t>
  </si>
  <si>
    <t>Staff</t>
  </si>
  <si>
    <t>S/o Veersen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</si>
  <si>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9651293900</t>
    </r>
  </si>
  <si>
    <t>Arham</t>
  </si>
  <si>
    <t>S/o Juned Ahmad</t>
  </si>
  <si>
    <t>Mo-9506309008</t>
  </si>
  <si>
    <t xml:space="preserve">Ayansh </t>
  </si>
  <si>
    <t>S/o Muunu Lal</t>
  </si>
  <si>
    <t>Mo-7859838119</t>
  </si>
  <si>
    <t xml:space="preserve">Advika Pathak </t>
  </si>
  <si>
    <t>S/o Jagdeesh N.Pathak</t>
  </si>
  <si>
    <t>Mo-6394463729</t>
  </si>
  <si>
    <t>Shanvi Pathak</t>
  </si>
  <si>
    <t>D/o Abhimanyu Pathak</t>
  </si>
  <si>
    <t>Mo-9889010779</t>
  </si>
  <si>
    <t>Saumya</t>
  </si>
  <si>
    <t>sibling</t>
  </si>
  <si>
    <t>D/o Parshit Kumar</t>
  </si>
  <si>
    <t>Mo-9005489051</t>
  </si>
  <si>
    <t>Kayrav</t>
  </si>
  <si>
    <t>D/o Manish Kumar</t>
  </si>
  <si>
    <t>Mo-9807794247</t>
  </si>
  <si>
    <t>Shivansh Yadav</t>
  </si>
  <si>
    <t>S/o Ram Chandan Yadav</t>
  </si>
  <si>
    <t>Mo-9554416151</t>
  </si>
  <si>
    <t>Arpit Tiwari</t>
  </si>
  <si>
    <t>S/o Manish Tiwari</t>
  </si>
  <si>
    <t>Mo-7738071016</t>
  </si>
  <si>
    <t>Kritika</t>
  </si>
  <si>
    <t>17.04.26</t>
  </si>
  <si>
    <t>10.06.26</t>
  </si>
  <si>
    <t>D/o Ajay Kumar</t>
  </si>
  <si>
    <t>Mo-9452983124</t>
  </si>
  <si>
    <t>Manas</t>
  </si>
  <si>
    <t>27.04.26</t>
  </si>
  <si>
    <t>S/o Manish Gupta</t>
  </si>
  <si>
    <t>Mo-9648300192</t>
  </si>
  <si>
    <t>Anushka</t>
  </si>
  <si>
    <t>20.04.26</t>
  </si>
  <si>
    <t>D/o Rakesh Kumar</t>
  </si>
  <si>
    <t>Mo-9452236822</t>
  </si>
  <si>
    <t>Shreyash Mani Tiwari</t>
  </si>
  <si>
    <t>S/o Vivek Mani Tiwari</t>
  </si>
  <si>
    <t>Mo-9120806019</t>
  </si>
  <si>
    <t>Avika</t>
  </si>
  <si>
    <t>08.05.26</t>
  </si>
  <si>
    <t>D/o Ravi Shankar</t>
  </si>
  <si>
    <t>Mo-8765724926</t>
  </si>
  <si>
    <t>Aviral Yadav</t>
  </si>
  <si>
    <t>S/o  Raghuveer Yadav</t>
  </si>
  <si>
    <t>Mo-8417055310</t>
  </si>
  <si>
    <t>Akshat Singh</t>
  </si>
  <si>
    <t>Sibblings</t>
  </si>
  <si>
    <t>S/o  Amar Singh</t>
  </si>
  <si>
    <t>Mo-9792344427</t>
  </si>
  <si>
    <r>
      <rPr>
        <b val="1"/>
        <sz val="18"/>
        <color indexed="8"/>
        <rFont val="Calibri"/>
      </rPr>
      <t>Class SKG</t>
    </r>
    <r>
      <rPr>
        <b val="1"/>
        <sz val="18"/>
        <color indexed="9"/>
        <rFont val="Calibri"/>
      </rPr>
      <t xml:space="preserve">  Academic Year 2026-2027</t>
    </r>
  </si>
  <si>
    <t>Alina</t>
  </si>
  <si>
    <t>28.04.26</t>
  </si>
  <si>
    <t>12.03.26</t>
  </si>
  <si>
    <t>D/O Naushad Ali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</si>
  <si>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9453972745</t>
    </r>
  </si>
  <si>
    <t>Harshvi Tiwari</t>
  </si>
  <si>
    <t>06.04.26</t>
  </si>
  <si>
    <t>02.02.26</t>
  </si>
  <si>
    <t>D/O Vijay Kumar Tiwari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</si>
  <si>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9026129013</t>
    </r>
  </si>
  <si>
    <t>Priyanshi</t>
  </si>
  <si>
    <t>13.01.26</t>
  </si>
  <si>
    <t>10.02.26</t>
  </si>
  <si>
    <t>10.03.26</t>
  </si>
  <si>
    <t>D/O Ravindra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</si>
  <si>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6307968910</t>
    </r>
  </si>
  <si>
    <t>Manash</t>
  </si>
  <si>
    <t>29.01.26</t>
  </si>
  <si>
    <t>S/O Raj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</si>
  <si>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9795483165</t>
    </r>
  </si>
  <si>
    <t>Abhishek Pathak</t>
  </si>
  <si>
    <t>S/O  Shirikant Pathak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</si>
  <si>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8601033084</t>
    </r>
  </si>
  <si>
    <t>Shravya Singh/Misthi Singh</t>
  </si>
  <si>
    <t>05.03.26</t>
  </si>
  <si>
    <t>D/O Mahesh Singh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</si>
  <si>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8052562581</t>
    </r>
  </si>
  <si>
    <t>Vaishnavi</t>
  </si>
  <si>
    <t>13.01.25</t>
  </si>
  <si>
    <t>12.02.26</t>
  </si>
  <si>
    <t>D/O Parikshit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</si>
  <si>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9696658265</t>
    </r>
  </si>
  <si>
    <t>Trisha Yadav</t>
  </si>
  <si>
    <t>13.02.26</t>
  </si>
  <si>
    <t>16.03.26</t>
  </si>
  <si>
    <t>D/O- Ashok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</si>
  <si>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6294337662</t>
    </r>
  </si>
  <si>
    <t>04.04.26</t>
  </si>
  <si>
    <t>Ayansh Mishra</t>
  </si>
  <si>
    <t>19.05.26</t>
  </si>
  <si>
    <t>28.01.26</t>
  </si>
  <si>
    <t>S/O  Rakesh Kumar Mishra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</si>
  <si>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9838130681</t>
    </r>
  </si>
  <si>
    <t>21.04.26</t>
  </si>
  <si>
    <t>Ayushman Sharma</t>
  </si>
  <si>
    <t>08.10.25</t>
  </si>
  <si>
    <t>S/O Suresh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</si>
  <si>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6392973463</t>
    </r>
  </si>
  <si>
    <t>Aditya Tiwari</t>
  </si>
  <si>
    <t xml:space="preserve">S/O Raghvendra Tiwari 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</si>
  <si>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7818983298</t>
    </r>
  </si>
  <si>
    <t>Arun Chaurasiya</t>
  </si>
  <si>
    <t>20.01.26</t>
  </si>
  <si>
    <t>21.02.26</t>
  </si>
  <si>
    <t>S/O Ranjeet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</si>
  <si>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7390892325</t>
    </r>
  </si>
  <si>
    <t>Varun Chaurasiya</t>
  </si>
  <si>
    <t>Daniya Khan</t>
  </si>
  <si>
    <t>D/O- Shamsher Khan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</si>
  <si>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9559867581</t>
    </r>
  </si>
  <si>
    <t>Rishabh Chaurasiya</t>
  </si>
  <si>
    <t>16.06.26</t>
  </si>
  <si>
    <t>19.02.26</t>
  </si>
  <si>
    <t>06.03.26</t>
  </si>
  <si>
    <t>S/O- Indresh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</si>
  <si>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7268904239</t>
    </r>
  </si>
  <si>
    <t>Jannatul Nisha</t>
  </si>
  <si>
    <t>03.04.25</t>
  </si>
  <si>
    <t>06.12.25</t>
  </si>
  <si>
    <t>09.02.26</t>
  </si>
  <si>
    <t>D/O- Mohd. Jamshed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</si>
  <si>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9076661207</t>
    </r>
  </si>
  <si>
    <t>Mannat Bano</t>
  </si>
  <si>
    <t>09.06.26</t>
  </si>
  <si>
    <t>16.01.26</t>
  </si>
  <si>
    <t>D/O- Mohammad Kaleem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</si>
  <si>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7897301286</t>
    </r>
  </si>
  <si>
    <t>Riya Vishwakarma</t>
  </si>
  <si>
    <t>29.04.26</t>
  </si>
  <si>
    <t>18.02.26</t>
  </si>
  <si>
    <t xml:space="preserve">D/O Amar Chand 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</si>
  <si>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6390301030</t>
    </r>
  </si>
  <si>
    <t>Anvi</t>
  </si>
  <si>
    <t>19.01.26</t>
  </si>
  <si>
    <t>25.02.26</t>
  </si>
  <si>
    <t>07.03.26</t>
  </si>
  <si>
    <t>D/O Tilak Ram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</si>
  <si>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7052533512</t>
    </r>
  </si>
  <si>
    <t>Satvik Yadav</t>
  </si>
  <si>
    <t>30.01.26</t>
  </si>
  <si>
    <t>16.02.26</t>
  </si>
  <si>
    <t>S/O Sanjeet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</si>
  <si>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6386013938</t>
    </r>
  </si>
  <si>
    <t>23.04.26</t>
  </si>
  <si>
    <t>Ayzal Sarik</t>
  </si>
  <si>
    <t>11.03.26</t>
  </si>
  <si>
    <t>S/O Mr. Sarik Ahmad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</si>
  <si>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9120656066</t>
    </r>
  </si>
  <si>
    <t>Abdullah Ahmad</t>
  </si>
  <si>
    <t>S/O Shafat Ahmad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</si>
  <si>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9415327888</t>
    </r>
  </si>
  <si>
    <t>Amayra Khan</t>
  </si>
  <si>
    <t>D/O  Shamim Khan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</si>
  <si>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8707861227</t>
    </r>
  </si>
  <si>
    <t>Avantika</t>
  </si>
  <si>
    <t>14.01.25</t>
  </si>
  <si>
    <t>05.02.26</t>
  </si>
  <si>
    <t>D/O Vikas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</si>
  <si>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6387354813</t>
    </r>
  </si>
  <si>
    <t>Rudra Singh Yadav</t>
  </si>
  <si>
    <t>S/O Ajay Singh Yadav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</si>
  <si>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7379369070</t>
    </r>
  </si>
  <si>
    <t>Shivansh Shukla</t>
  </si>
  <si>
    <t>S/O Ashutosh Shukla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</si>
  <si>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9452319920</t>
    </r>
  </si>
  <si>
    <t>Pihu Kaushal</t>
  </si>
  <si>
    <t>14.03.26</t>
  </si>
  <si>
    <t>D/O Amit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</si>
  <si>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9721507700</t>
    </r>
  </si>
  <si>
    <t>Aarya Gupta</t>
  </si>
  <si>
    <t>11.02.26</t>
  </si>
  <si>
    <t>D/O Vikas Gupta</t>
  </si>
  <si>
    <t>Mo- 9628292403</t>
  </si>
  <si>
    <t>Aahan Yadav</t>
  </si>
  <si>
    <t>12.01.26</t>
  </si>
  <si>
    <t>17.02.26</t>
  </si>
  <si>
    <t>S/O Nirbhav Yadav</t>
  </si>
  <si>
    <t>Mo- 7860303583</t>
  </si>
  <si>
    <t>Anirudh Pandey</t>
  </si>
  <si>
    <t>06.02.26</t>
  </si>
  <si>
    <t>S/O Awadhesh Pandey</t>
  </si>
  <si>
    <t>Mo- 9616046238</t>
  </si>
  <si>
    <t>Ayansh Chaurasiya</t>
  </si>
  <si>
    <t>S/O Ajeet Kumar</t>
  </si>
  <si>
    <t>Mo- 9984844734</t>
  </si>
  <si>
    <t>Hardik Yadav</t>
  </si>
  <si>
    <t>S/O Raju Kumar</t>
  </si>
  <si>
    <t>Mo- 9876913243</t>
  </si>
  <si>
    <t>Arham Ahmad</t>
  </si>
  <si>
    <t>11.06.26</t>
  </si>
  <si>
    <t>S/O Mohd.Intzaar</t>
  </si>
  <si>
    <t>Mo- 8090138262</t>
  </si>
  <si>
    <t>Maitreyi</t>
  </si>
  <si>
    <t>D/O Narendra Dev Tiwari</t>
  </si>
  <si>
    <t>Mo- 9450579866</t>
  </si>
  <si>
    <t>Trisha</t>
  </si>
  <si>
    <t>D/O Ashok Kumar</t>
  </si>
  <si>
    <t>Mo- 6294337662</t>
  </si>
  <si>
    <t>Samiksha Tripathi</t>
  </si>
  <si>
    <t>D/O Bal Krishna</t>
  </si>
  <si>
    <t>Mo- 9910290538</t>
  </si>
  <si>
    <t>Siksha</t>
  </si>
  <si>
    <t>D/O Shivram Pandey</t>
  </si>
  <si>
    <t>Mo- 8009269113</t>
  </si>
  <si>
    <t>Aditi Singh</t>
  </si>
  <si>
    <t>D/O Amar Singh</t>
  </si>
  <si>
    <t>Mo- 9792344427</t>
  </si>
  <si>
    <r>
      <rPr>
        <b val="1"/>
        <sz val="18"/>
        <color indexed="8"/>
        <rFont val="Calibri"/>
      </rPr>
      <t>Ist  (B)</t>
    </r>
    <r>
      <rPr>
        <b val="1"/>
        <sz val="18"/>
        <color indexed="18"/>
        <rFont val="Calibri"/>
      </rPr>
      <t xml:space="preserve">  Academic Year 2026 /2027</t>
    </r>
  </si>
  <si>
    <r>
      <rPr>
        <b val="1"/>
        <sz val="11"/>
        <color indexed="18"/>
        <rFont val="Calibri"/>
      </rPr>
      <t>1</t>
    </r>
  </si>
  <si>
    <t xml:space="preserve">Anikesh Yadav </t>
  </si>
  <si>
    <t xml:space="preserve">S/O Manoj Kumar 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</si>
  <si>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9795722700</t>
    </r>
  </si>
  <si>
    <t xml:space="preserve">Shanvi </t>
  </si>
  <si>
    <t>D/O Ravi Pandey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</si>
  <si>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8604175628</t>
    </r>
  </si>
  <si>
    <t xml:space="preserve">Shreya </t>
  </si>
  <si>
    <t>20.05.26</t>
  </si>
  <si>
    <t>D/O Rinku Pandey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</si>
  <si>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8004079365</t>
    </r>
  </si>
  <si>
    <t xml:space="preserve">Anika </t>
  </si>
  <si>
    <t>04.05.26</t>
  </si>
  <si>
    <t xml:space="preserve">D/O Mahesh Kumar 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</si>
  <si>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9451895573</t>
    </r>
  </si>
  <si>
    <t>Vaibhav Tiwari</t>
  </si>
  <si>
    <t>05.05.26</t>
  </si>
  <si>
    <t>S/O Diwakar Tiwari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</si>
  <si>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9919658437</t>
    </r>
  </si>
  <si>
    <t>Rudra Pratap</t>
  </si>
  <si>
    <t>S/O Rajesh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</si>
  <si>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9554935000</t>
    </r>
  </si>
  <si>
    <t xml:space="preserve">Alishba Khan </t>
  </si>
  <si>
    <t>D/O Mohd.Vaseem Khan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</si>
  <si>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9919453433</t>
    </r>
  </si>
  <si>
    <t>22.04.26</t>
  </si>
  <si>
    <t>Mohd. Anas Hashmi</t>
  </si>
  <si>
    <t>25.04.26</t>
  </si>
  <si>
    <t>S/O Shahaluddin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</si>
  <si>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>7523942408</t>
    </r>
  </si>
  <si>
    <t>Srishti Sahu</t>
  </si>
  <si>
    <t>D/O Satish Sahu</t>
  </si>
  <si>
    <t>Mo- 8175976074</t>
  </si>
  <si>
    <t>Arushika Soni</t>
  </si>
  <si>
    <t>D/O Avinash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</si>
  <si>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7275603100</t>
    </r>
  </si>
  <si>
    <t xml:space="preserve">Tanveer </t>
  </si>
  <si>
    <t>S/O Shahzad Khan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</si>
  <si>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9415264437</t>
    </r>
  </si>
  <si>
    <t>Abhishek Kumar</t>
  </si>
  <si>
    <t>S/O Hariram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</si>
  <si>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9559664532</t>
    </r>
  </si>
  <si>
    <t>Maryam</t>
  </si>
  <si>
    <t>D/O Alaudeen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</si>
  <si>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9984744414</t>
    </r>
  </si>
  <si>
    <t>Kayra Ranjan Yadav</t>
  </si>
  <si>
    <t>30.04.25</t>
  </si>
  <si>
    <t>D/O Rajeev Ranjan Yadav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</si>
  <si>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9628888376</t>
    </r>
  </si>
  <si>
    <t xml:space="preserve">Arnav </t>
  </si>
  <si>
    <t>S/O Rajeev kumar</t>
  </si>
  <si>
    <t>Mo- 9795350899</t>
  </si>
  <si>
    <t>Ist New  (A)</t>
  </si>
  <si>
    <t>Anokhi Yadav</t>
  </si>
  <si>
    <t>12.06.26</t>
  </si>
  <si>
    <t>D/O  Shyam Yadav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</si>
  <si>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9795948722</t>
    </r>
  </si>
  <si>
    <t>Akriti Tiwari</t>
  </si>
  <si>
    <t>siblings</t>
  </si>
  <si>
    <t>18.04.26</t>
  </si>
  <si>
    <t>D/O  Sushil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</si>
  <si>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8299244177</t>
    </r>
  </si>
  <si>
    <t xml:space="preserve">Areeba </t>
  </si>
  <si>
    <t xml:space="preserve">D/O Safat Ahmad 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</si>
  <si>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9839229595</t>
    </r>
  </si>
  <si>
    <t>Aham Yadav</t>
  </si>
  <si>
    <t>S/o Khushiram Yadav</t>
  </si>
  <si>
    <t>Mo-8172860141</t>
  </si>
  <si>
    <t>Anam Fatima</t>
  </si>
  <si>
    <t>S/o Azaad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</si>
  <si>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>8881074663</t>
    </r>
  </si>
  <si>
    <t xml:space="preserve">Mayank Kaushal </t>
  </si>
  <si>
    <t>S/O Ramakant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</si>
  <si>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9936524790</t>
    </r>
  </si>
  <si>
    <t>Vivek Kumar</t>
  </si>
  <si>
    <t>S/o Hari Ram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</si>
  <si>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>9559664532</t>
    </r>
  </si>
  <si>
    <t xml:space="preserve">Yash </t>
  </si>
  <si>
    <t>S/O Jang Bahadur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</si>
  <si>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9794980134</t>
    </r>
  </si>
  <si>
    <t>Yashasvi Samyak</t>
  </si>
  <si>
    <t>S/O Phoolchand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</si>
  <si>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7348798975</t>
    </r>
  </si>
  <si>
    <t xml:space="preserve">Anurag </t>
  </si>
  <si>
    <t>Annual</t>
  </si>
  <si>
    <t>S/O Durgesh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</si>
  <si>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7988798457</t>
    </r>
  </si>
  <si>
    <t xml:space="preserve">Bhaskar </t>
  </si>
  <si>
    <t>S/O Viredra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</si>
  <si>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9648794637</t>
    </r>
  </si>
  <si>
    <t>Hariom Singh</t>
  </si>
  <si>
    <t>S/o Mahendra Singh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</si>
  <si>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>8948107214</t>
    </r>
  </si>
  <si>
    <t>Parshansha</t>
  </si>
  <si>
    <t>D/O Akhand Pratap</t>
  </si>
  <si>
    <r>
      <rPr>
        <b val="1"/>
        <sz val="11"/>
        <color indexed="18"/>
        <rFont val="Calibri"/>
      </rPr>
      <t xml:space="preserve">Mo-  </t>
    </r>
    <r>
      <rPr>
        <b val="1"/>
        <sz val="11"/>
        <color indexed="8"/>
        <rFont val="Calibri"/>
      </rPr>
      <t>7376739168</t>
    </r>
  </si>
  <si>
    <t>Vaasu Yadav</t>
  </si>
  <si>
    <t>S/O Sushil Kumar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</si>
  <si>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9026408334</t>
    </r>
  </si>
  <si>
    <t xml:space="preserve">D/O Harish Chandra 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</si>
  <si>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9651477194</t>
    </r>
  </si>
  <si>
    <t>Aanand Kaushal</t>
  </si>
  <si>
    <t xml:space="preserve">S/O Manish Kaushal 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</si>
  <si>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9984432228</t>
    </r>
  </si>
  <si>
    <t>Maivish</t>
  </si>
  <si>
    <t>Sibiling</t>
  </si>
  <si>
    <t>D/O Gulsher Khan</t>
  </si>
  <si>
    <r>
      <rPr>
        <b val="1"/>
        <sz val="11"/>
        <color indexed="18"/>
        <rFont val="Calibri"/>
      </rPr>
      <t>Mo-</t>
    </r>
    <r>
      <rPr>
        <b val="1"/>
        <sz val="11"/>
        <color indexed="8"/>
        <rFont val="Calibri"/>
      </rPr>
      <t xml:space="preserve"> 8471066934</t>
    </r>
  </si>
  <si>
    <t>Shivechha Dubey</t>
  </si>
  <si>
    <t>12.05.26</t>
  </si>
  <si>
    <t>D/O Ravi dubey</t>
  </si>
  <si>
    <t>N.A.</t>
  </si>
  <si>
    <r>
      <rPr>
        <b val="1"/>
        <sz val="11"/>
        <color indexed="18"/>
        <rFont val="Calibri"/>
      </rPr>
      <t xml:space="preserve">Mo- </t>
    </r>
    <r>
      <rPr>
        <b val="1"/>
        <sz val="11"/>
        <color indexed="8"/>
        <rFont val="Calibri"/>
      </rPr>
      <t>9120000565</t>
    </r>
  </si>
  <si>
    <t>Namami</t>
  </si>
  <si>
    <t>S/O Shailender Kumar</t>
  </si>
  <si>
    <t>Mo- 6394655843</t>
  </si>
  <si>
    <r>
      <rPr>
        <b val="1"/>
        <sz val="18"/>
        <color indexed="8"/>
        <rFont val="Calibri"/>
      </rPr>
      <t xml:space="preserve"> Class - II </t>
    </r>
    <r>
      <rPr>
        <b val="1"/>
        <sz val="18"/>
        <color indexed="9"/>
        <rFont val="Calibri"/>
      </rPr>
      <t xml:space="preserve">  Academic Year 2026 /2027</t>
    </r>
  </si>
  <si>
    <t>Pragya Singh</t>
  </si>
  <si>
    <t>D/O Suryan Narayan Singh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</si>
  <si>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7880665332</t>
    </r>
  </si>
  <si>
    <t>Mahi Fatima</t>
  </si>
  <si>
    <t>D/O Sahjad Khan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</si>
  <si>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9415264439</t>
    </r>
  </si>
  <si>
    <t>Aayansh Yadav</t>
  </si>
  <si>
    <t>pending</t>
  </si>
  <si>
    <t>02.05.26</t>
  </si>
  <si>
    <t>S/O Dinesh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</si>
  <si>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8004065340</t>
    </r>
  </si>
  <si>
    <t>S/O Rakesh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</si>
  <si>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9453784000</t>
    </r>
  </si>
  <si>
    <t>Devansh Yadav</t>
  </si>
  <si>
    <t>S/O Satendra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</si>
  <si>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9451990579</t>
    </r>
  </si>
  <si>
    <t>Ahmad Raza Khan</t>
  </si>
  <si>
    <t>S/O Shamsher Khan</t>
  </si>
  <si>
    <t>Ubaid</t>
  </si>
  <si>
    <t>S/O Sabir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</si>
  <si>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9838888477</t>
    </r>
  </si>
  <si>
    <t>Mohd.Faiz</t>
  </si>
  <si>
    <t>S/O  Mohd.Anwar Ali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</si>
  <si>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8009266374</t>
    </r>
  </si>
  <si>
    <t>Mohd. Mahnoor</t>
  </si>
  <si>
    <t>06.05.26</t>
  </si>
  <si>
    <t>S/O Tauflqul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</si>
  <si>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8948125160</t>
    </r>
  </si>
  <si>
    <t>Misthi Kaushal</t>
  </si>
  <si>
    <t>D/O Manish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</si>
  <si>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9889867331</t>
    </r>
  </si>
  <si>
    <t>Aarushi Singh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</si>
  <si>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97923444427</t>
    </r>
  </si>
  <si>
    <t>Angel Yadav</t>
  </si>
  <si>
    <t>D/O Shiv Kumar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</si>
  <si>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9919526123</t>
    </r>
  </si>
  <si>
    <t>Sidra</t>
  </si>
  <si>
    <t>D/O Sageer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</si>
  <si>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9956659183</t>
    </r>
  </si>
  <si>
    <t>Aayara Bano</t>
  </si>
  <si>
    <t>D/O Siraj Ahmad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</si>
  <si>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8808458373</t>
    </r>
  </si>
  <si>
    <t>Mohd.Aslain</t>
  </si>
  <si>
    <t>S/O Hakim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</si>
  <si>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7860315970</t>
    </r>
  </si>
  <si>
    <t>Alok upadhyay</t>
  </si>
  <si>
    <t>S/O Mahesh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</si>
  <si>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8826317131</t>
    </r>
  </si>
  <si>
    <t>Aarushi Gupta</t>
  </si>
  <si>
    <t>D/O Akhilesh Gupta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</si>
  <si>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7704885103</t>
    </r>
  </si>
  <si>
    <t>Bhoomi Singh</t>
  </si>
  <si>
    <t>D/O Bhanu Pratap Singh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</si>
  <si>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9919102999</t>
    </r>
  </si>
  <si>
    <t>Aditi Yadav</t>
  </si>
  <si>
    <t>D/O Indrasen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</si>
  <si>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6394629321</t>
    </r>
  </si>
  <si>
    <t>Siddharth Dev Tiwari</t>
  </si>
  <si>
    <t>S/O Sanjay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</si>
  <si>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9792059251</t>
    </r>
  </si>
  <si>
    <t>Suryansh Parjapati</t>
  </si>
  <si>
    <t>16.05.26</t>
  </si>
  <si>
    <t>S/O Chhotoo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</si>
  <si>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6393222597</t>
    </r>
  </si>
  <si>
    <t>Noori Naaz</t>
  </si>
  <si>
    <t>D/O Noor Alam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</si>
  <si>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8528884721</t>
    </r>
  </si>
  <si>
    <t>Pranav Tiwari</t>
  </si>
  <si>
    <t>S/O  Pravesh Tiwari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</si>
  <si>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8881783204</t>
    </r>
  </si>
  <si>
    <t>Avika Mishra</t>
  </si>
  <si>
    <t>D/O  Ashutosh Mishra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</si>
  <si>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9455921802</t>
    </r>
  </si>
  <si>
    <t>Astha Yadav</t>
  </si>
  <si>
    <t>D/O  Shivkant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</si>
  <si>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9235989061</t>
    </r>
  </si>
  <si>
    <t>Divyansh Mishra</t>
  </si>
  <si>
    <t>S/o Chuchu Mishra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</si>
  <si>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6394299621</t>
    </r>
  </si>
  <si>
    <t>Vaihbav Pal</t>
  </si>
  <si>
    <t>S/o Hanuman Prasad</t>
  </si>
  <si>
    <t>Mo- 8368488513</t>
  </si>
  <si>
    <t>Ritesh</t>
  </si>
  <si>
    <t>Mo- 9125969380</t>
  </si>
  <si>
    <t>Tashmiya</t>
  </si>
  <si>
    <t>D/o Intazar Ahmad</t>
  </si>
  <si>
    <t>Kartik Yadav</t>
  </si>
  <si>
    <t>S/o Kishan Kumar</t>
  </si>
  <si>
    <t>Mo- 9721678170</t>
  </si>
  <si>
    <r>
      <rPr>
        <b val="1"/>
        <sz val="18"/>
        <color indexed="8"/>
        <rFont val="Calibri"/>
      </rPr>
      <t xml:space="preserve"> Class IIIrd</t>
    </r>
    <r>
      <rPr>
        <b val="1"/>
        <sz val="18"/>
        <color indexed="9"/>
        <rFont val="Calibri"/>
      </rPr>
      <t xml:space="preserve">  Academic Year 2026/2027</t>
    </r>
  </si>
  <si>
    <t>Rudransh Pathak</t>
  </si>
  <si>
    <t>S/O Anand Pathak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</si>
  <si>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9453999442</t>
    </r>
  </si>
  <si>
    <t>Arkan Mirza</t>
  </si>
  <si>
    <t>S/O Taz Mohammad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</si>
  <si>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9453092498</t>
    </r>
  </si>
  <si>
    <t>Anushri</t>
  </si>
  <si>
    <t>S/O Ashish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</si>
  <si>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9565409936</t>
    </r>
  </si>
  <si>
    <t>Aabhita Singh</t>
  </si>
  <si>
    <t>D/O Shivendra Pratap Singh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</si>
  <si>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8765575655</t>
    </r>
  </si>
  <si>
    <t>Aakshita Singh</t>
  </si>
  <si>
    <t>Paridhi</t>
  </si>
  <si>
    <t>D/O Pradeep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</si>
  <si>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9695259130</t>
    </r>
  </si>
  <si>
    <t>Pallavi Yadav</t>
  </si>
  <si>
    <t>D/O Tilakram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</si>
  <si>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9506571275</t>
    </r>
  </si>
  <si>
    <t>Achyut Singh</t>
  </si>
  <si>
    <t>S/O Akhand Pratap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</si>
  <si>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9919379496</t>
    </r>
  </si>
  <si>
    <t>Jaimini Tiwari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</si>
  <si>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8004017647</t>
    </r>
  </si>
  <si>
    <t>Shivansh Singh</t>
  </si>
  <si>
    <t>S/O Praveen Singh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</si>
  <si>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8808553095</t>
    </r>
  </si>
  <si>
    <t xml:space="preserve">Anubhav </t>
  </si>
  <si>
    <t>S/O Vijay Prakash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</si>
  <si>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9161813047</t>
    </r>
  </si>
  <si>
    <t>Ansab Husain</t>
  </si>
  <si>
    <t>S/O Mohd.Husain</t>
  </si>
  <si>
    <t>Mo- 7084560149</t>
  </si>
  <si>
    <t>Akshara Ranjan Yadav</t>
  </si>
  <si>
    <t>S/O Rajeev Ranjan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</si>
  <si>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7408818735</t>
    </r>
  </si>
  <si>
    <t>Nitya Shukla</t>
  </si>
  <si>
    <t>D/O Shivansh Shukla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</si>
  <si>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9532631495</t>
    </r>
  </si>
  <si>
    <t>Mohd.Ali</t>
  </si>
  <si>
    <t>S/O Moinudeen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</si>
  <si>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9935428658</t>
    </r>
  </si>
  <si>
    <t>Arya Yadav</t>
  </si>
  <si>
    <t>D/O Ajay Singh Yadav</t>
  </si>
  <si>
    <t>Mo- 7379369070</t>
  </si>
  <si>
    <t>Shivaay Pandey</t>
  </si>
  <si>
    <t>S/O Ashish Pandey</t>
  </si>
  <si>
    <t>Mo- 8808553095</t>
  </si>
  <si>
    <t>Faiz Raza</t>
  </si>
  <si>
    <t>S/O  Ayan Ahmad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</si>
  <si>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7307416456</t>
    </r>
  </si>
  <si>
    <t>Advita Tripathi</t>
  </si>
  <si>
    <t xml:space="preserve"> </t>
  </si>
  <si>
    <t>D/O Bal Krishna Tripathi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</si>
  <si>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9910290538</t>
    </r>
  </si>
  <si>
    <t>Ayush Shukla</t>
  </si>
  <si>
    <t>S/O Surender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</si>
  <si>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7307666835</t>
    </r>
  </si>
  <si>
    <t>Aayan</t>
  </si>
  <si>
    <t>S/O  Buddhu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</si>
  <si>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9169334842</t>
    </r>
  </si>
  <si>
    <t>Mahi</t>
  </si>
  <si>
    <t>D/O Manoj Kumar</t>
  </si>
  <si>
    <t>Mo- 9648156171</t>
  </si>
  <si>
    <r>
      <rPr>
        <b val="1"/>
        <sz val="18"/>
        <color indexed="8"/>
        <rFont val="Calibri"/>
      </rPr>
      <t>Class IVth</t>
    </r>
    <r>
      <rPr>
        <b val="1"/>
        <sz val="18"/>
        <color indexed="9"/>
        <rFont val="Calibri"/>
      </rPr>
      <t xml:space="preserve">  Academic Year 2026 /2027</t>
    </r>
  </si>
  <si>
    <t>Ayushman Pandey</t>
  </si>
  <si>
    <t>S/O Arun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</si>
  <si>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9415941235</t>
    </r>
  </si>
  <si>
    <t xml:space="preserve">Shashank </t>
  </si>
  <si>
    <t>S/O Satish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</si>
  <si>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6392174923</t>
    </r>
  </si>
  <si>
    <t>Aaditya Nath Mishra</t>
  </si>
  <si>
    <t>S/O Jagannath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</si>
  <si>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9918147600</t>
    </r>
  </si>
  <si>
    <t xml:space="preserve">Akshat Pal </t>
  </si>
  <si>
    <t xml:space="preserve">S/O Kuljeet 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</si>
  <si>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7309986549</t>
    </r>
  </si>
  <si>
    <t>Anshu Gupta</t>
  </si>
  <si>
    <t>S/O Akhilesh Gupta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</si>
  <si>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7704885103</t>
    </r>
  </si>
  <si>
    <t>Arhan Khan</t>
  </si>
  <si>
    <t xml:space="preserve">S/O Jauheed Ahmad 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</si>
  <si>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8303112179</t>
    </r>
  </si>
  <si>
    <t>Ritika Tiwari</t>
  </si>
  <si>
    <t>09.5.26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</si>
  <si>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8175078163</t>
    </r>
  </si>
  <si>
    <t>Attreyi Tiwari</t>
  </si>
  <si>
    <t>D/O Umakant Tiwari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</si>
  <si>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8948888492</t>
    </r>
  </si>
  <si>
    <t>Mishthi Kaushal</t>
  </si>
  <si>
    <t>D/O Ramakant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</si>
  <si>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9936524790</t>
    </r>
  </si>
  <si>
    <t>Geetika</t>
  </si>
  <si>
    <t>D/O  Sanjay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</si>
  <si>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9792059251</t>
    </r>
  </si>
  <si>
    <t>Anshika Chaurasiya</t>
  </si>
  <si>
    <t>D/O  Rajesh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</si>
  <si>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7607373517</t>
    </r>
  </si>
  <si>
    <t>Mohd.Khalid</t>
  </si>
  <si>
    <t>S/O  Moinuddin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</si>
  <si>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7705886580</t>
    </r>
  </si>
  <si>
    <t>Arya Shukla</t>
  </si>
  <si>
    <t>18.05.26</t>
  </si>
  <si>
    <t>D/O  Suryakant Shukla</t>
  </si>
  <si>
    <t>Mo- 6386358890</t>
  </si>
  <si>
    <t>Ayush Pandey</t>
  </si>
  <si>
    <t>S/O  Arun Kumar Pandey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</si>
  <si>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7887265595</t>
    </r>
  </si>
  <si>
    <t>Aadrash Mishra</t>
  </si>
  <si>
    <t>S/O  Manoj Mishra</t>
  </si>
  <si>
    <t>Mo- 9717584599</t>
  </si>
  <si>
    <t>Arnav Yadav</t>
  </si>
  <si>
    <t>S/O  Hari Vijay Yadav</t>
  </si>
  <si>
    <t>Mo- 9918494902</t>
  </si>
  <si>
    <t>Arunav Chaurasiya</t>
  </si>
  <si>
    <t>S/O  Ajay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</si>
  <si>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8604175214</t>
    </r>
  </si>
  <si>
    <t>Mohd.Arsh</t>
  </si>
  <si>
    <t>S/O  Ashraf</t>
  </si>
  <si>
    <t>Mo- 8009042550</t>
  </si>
  <si>
    <t>Ananya Yadav</t>
  </si>
  <si>
    <t xml:space="preserve">D/O Santosh Kumar  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</si>
  <si>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9598576048</t>
    </r>
  </si>
  <si>
    <t>Divya Tiwari</t>
  </si>
  <si>
    <t>D/O  Ramesh Tiwari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</si>
  <si>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8303028685</t>
    </r>
  </si>
  <si>
    <t>Rashid Ali</t>
  </si>
  <si>
    <t>S/O  Ashif Ali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</si>
  <si>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8960252212</t>
    </r>
  </si>
  <si>
    <t>Tanya Yadav</t>
  </si>
  <si>
    <t>D/O  Lt.Ajay Singh Yadav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</si>
  <si>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8528120018</t>
    </r>
  </si>
  <si>
    <t>Shanya Yadav</t>
  </si>
  <si>
    <t>Masoom</t>
  </si>
  <si>
    <t>S/O  Dilip Singh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</si>
  <si>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8726632807</t>
    </r>
  </si>
  <si>
    <t>Shreya Tiwari</t>
  </si>
  <si>
    <t>D/O  Sushil Tiwari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</si>
  <si>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9451290664</t>
    </r>
  </si>
  <si>
    <r>
      <rPr>
        <b val="1"/>
        <sz val="18"/>
        <color indexed="8"/>
        <rFont val="Calibri"/>
      </rPr>
      <t>Class Vth</t>
    </r>
    <r>
      <rPr>
        <b val="1"/>
        <sz val="18"/>
        <color indexed="9"/>
        <rFont val="Calibri"/>
      </rPr>
      <t xml:space="preserve"> Academic Year 2026 /2027</t>
    </r>
  </si>
  <si>
    <t>Abhay Tiwari</t>
  </si>
  <si>
    <t>S/O Deshraj Tiwari</t>
  </si>
  <si>
    <t>Bus facility not avail but application required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</si>
  <si>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9891329603</t>
    </r>
  </si>
  <si>
    <t>Durga Singh</t>
  </si>
  <si>
    <t>S/O Purshuttam Singh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</si>
  <si>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9455776742</t>
    </r>
  </si>
  <si>
    <t>Akshita Chaudhary</t>
  </si>
  <si>
    <t>D/O Deepak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</si>
  <si>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9648193690</t>
    </r>
  </si>
  <si>
    <t xml:space="preserve">Anas Raza Khan </t>
  </si>
  <si>
    <t>S/O Gulshan Khan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</si>
  <si>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8454095415</t>
    </r>
  </si>
  <si>
    <t>Nancy Yadav</t>
  </si>
  <si>
    <t xml:space="preserve">D/O Shobha Ram 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</si>
  <si>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9454910462</t>
    </r>
  </si>
  <si>
    <t>Aradhya Singh</t>
  </si>
  <si>
    <t>D/O Praveen Singh</t>
  </si>
  <si>
    <t>Mohd. Afroz Farquvi</t>
  </si>
  <si>
    <t>S/O Mumtaz Ahmad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</si>
  <si>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9670547955</t>
    </r>
  </si>
  <si>
    <t>Athrav Yadav</t>
  </si>
  <si>
    <t>S/O Manoj Kumar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</si>
  <si>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9795722700</t>
    </r>
  </si>
  <si>
    <t>Shlok Parjapati</t>
  </si>
  <si>
    <t>S/o Chootto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</si>
  <si>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7607082896</t>
    </r>
  </si>
  <si>
    <t>Aashvi Yadav</t>
  </si>
  <si>
    <t>D/o Pradeep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</si>
  <si>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9044630225</t>
    </r>
  </si>
  <si>
    <t>Anam Bano</t>
  </si>
  <si>
    <t>D/o Mohd.Sahaban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</si>
  <si>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6393138829</t>
    </r>
  </si>
  <si>
    <t>Harshita</t>
  </si>
  <si>
    <t>D/o  Ajay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</si>
  <si>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9452983124</t>
    </r>
  </si>
  <si>
    <r>
      <rPr>
        <b val="1"/>
        <sz val="18"/>
        <color indexed="8"/>
        <rFont val="Calibri"/>
      </rPr>
      <t>Class VIth</t>
    </r>
    <r>
      <rPr>
        <b val="1"/>
        <sz val="18"/>
        <color indexed="9"/>
        <rFont val="Calibri"/>
      </rPr>
      <t xml:space="preserve">  Academic Year 2026 /2027</t>
    </r>
  </si>
  <si>
    <t>Akshat Pal</t>
  </si>
  <si>
    <t>S/O Malikdeen</t>
  </si>
  <si>
    <t>caution Money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</si>
  <si>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9112534516</t>
    </r>
  </si>
  <si>
    <t>Antariksh Yadav</t>
  </si>
  <si>
    <t>S/O Satguru Yadav</t>
  </si>
  <si>
    <t>Caution Money</t>
  </si>
  <si>
    <t>Mo- 7800879214</t>
  </si>
  <si>
    <t>Aarav Pal</t>
  </si>
  <si>
    <t>S/O Hanuman Prasad</t>
  </si>
  <si>
    <t>Pending</t>
  </si>
  <si>
    <t>Mo- 7084956366</t>
  </si>
  <si>
    <t>Muskan Chaurasiya</t>
  </si>
  <si>
    <t>D/O Sunil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</si>
  <si>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7007299240</t>
    </r>
  </si>
  <si>
    <t>Vedant Thakur</t>
  </si>
  <si>
    <t>S/O Sunil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</si>
  <si>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 xml:space="preserve"> 9919573411</t>
    </r>
  </si>
  <si>
    <t>Pari Kaushal</t>
  </si>
  <si>
    <r>
      <rPr>
        <b val="1"/>
        <sz val="18"/>
        <color indexed="8"/>
        <rFont val="Calibri"/>
      </rPr>
      <t>Class VIIth</t>
    </r>
    <r>
      <rPr>
        <b val="1"/>
        <sz val="18"/>
        <color indexed="18"/>
        <rFont val="Calibri"/>
      </rPr>
      <t xml:space="preserve">    Academic Year 2026 /2027</t>
    </r>
  </si>
  <si>
    <t xml:space="preserve">Navneet </t>
  </si>
  <si>
    <t>15.06.26</t>
  </si>
  <si>
    <t>S/O Anil Kumar</t>
  </si>
  <si>
    <r>
      <rPr>
        <b val="1"/>
        <sz val="11"/>
        <color indexed="12"/>
        <rFont val="Calibri"/>
      </rPr>
      <t xml:space="preserve">Mo- </t>
    </r>
    <r>
      <rPr>
        <b val="1"/>
        <sz val="11"/>
        <color indexed="8"/>
        <rFont val="Calibri"/>
      </rPr>
      <t>8004400200</t>
    </r>
  </si>
  <si>
    <t>Asfia Khan</t>
  </si>
  <si>
    <t>D/O Tauseef Khan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</si>
  <si>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9839539622</t>
    </r>
  </si>
  <si>
    <t>Abdullah Khan</t>
  </si>
  <si>
    <t>S/O Tauseef Khan</t>
  </si>
  <si>
    <t>Antima</t>
  </si>
  <si>
    <t>D/O Suresh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</si>
  <si>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9453898364</t>
    </r>
  </si>
  <si>
    <t>Nargish Fatima</t>
  </si>
  <si>
    <t>D/O Anwar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</si>
  <si>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9519599206</t>
    </r>
  </si>
  <si>
    <t>Sangini</t>
  </si>
  <si>
    <t>D/O Parmod Kumar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</si>
  <si>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8467022403</t>
    </r>
  </si>
  <si>
    <t>Sanaya Ansari</t>
  </si>
  <si>
    <t>D/O Niyaz Ahmad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</si>
  <si>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8081721898</t>
    </r>
  </si>
  <si>
    <t>Suhani Yadav</t>
  </si>
  <si>
    <t>D/O Sandeep yadav</t>
  </si>
  <si>
    <r>
      <rPr>
        <b val="1"/>
        <sz val="11"/>
        <color indexed="12"/>
        <rFont val="Calibri"/>
      </rPr>
      <t>Mo-</t>
    </r>
    <r>
      <rPr>
        <b val="1"/>
        <sz val="11"/>
        <color indexed="8"/>
        <rFont val="Calibri"/>
      </rPr>
      <t>8528645960</t>
    </r>
  </si>
  <si>
    <t>Required Detail</t>
  </si>
  <si>
    <t>Sr.No.</t>
  </si>
  <si>
    <t>Class</t>
  </si>
  <si>
    <t>Student Name</t>
  </si>
  <si>
    <t>Father Name</t>
  </si>
  <si>
    <t>Mobile No.</t>
  </si>
  <si>
    <t xml:space="preserve">Nursery </t>
  </si>
  <si>
    <t>Aaradhya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</si>
</sst>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;0"/>
  </numFmts>
  <fonts count="3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9"/>
      <name val="Calibri"/>
    </font>
    <font>
      <b val="1"/>
      <sz val="18"/>
      <color indexed="8"/>
      <name val="Calibri"/>
    </font>
    <font>
      <b val="1"/>
      <sz val="14"/>
      <color indexed="9"/>
      <name val="Calibri"/>
    </font>
    <font>
      <b val="1"/>
      <sz val="11"/>
      <color indexed="12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b val="1"/>
      <sz val="11"/>
      <color indexed="13"/>
      <name val="Calibri"/>
    </font>
    <font>
      <b val="1"/>
      <sz val="11"/>
      <color indexed="14"/>
      <name val="Calibri"/>
    </font>
    <font>
      <b val="1"/>
      <sz val="9"/>
      <color indexed="8"/>
      <name val="Calibri"/>
    </font>
    <font>
      <b val="1"/>
      <sz val="8"/>
      <color indexed="15"/>
      <name val="Calibri"/>
    </font>
    <font>
      <b val="1"/>
      <sz val="9"/>
      <color indexed="15"/>
      <name val="Calibri"/>
    </font>
    <font>
      <b val="1"/>
      <sz val="8"/>
      <color indexed="13"/>
      <name val="Calibri"/>
    </font>
    <font>
      <b val="1"/>
      <sz val="10"/>
      <color indexed="15"/>
      <name val="Calibri"/>
    </font>
    <font>
      <b val="1"/>
      <sz val="10"/>
      <color indexed="13"/>
      <name val="Calibri"/>
    </font>
    <font>
      <b val="1"/>
      <sz val="11"/>
      <color indexed="15"/>
      <name val="Calibri"/>
    </font>
    <font>
      <sz val="11"/>
      <color indexed="13"/>
      <name val="Calibri"/>
    </font>
    <font>
      <b val="1"/>
      <sz val="9"/>
      <color indexed="13"/>
      <name val="Calibri"/>
    </font>
    <font>
      <b val="1"/>
      <sz val="9"/>
      <color indexed="12"/>
      <name val="Calibri"/>
    </font>
    <font>
      <b val="1"/>
      <sz val="18"/>
      <color indexed="18"/>
      <name val="Calibri"/>
    </font>
    <font>
      <b val="1"/>
      <sz val="11"/>
      <color indexed="18"/>
      <name val="Calibri"/>
    </font>
    <font>
      <b val="1"/>
      <sz val="9"/>
      <color indexed="18"/>
      <name val="Calibri"/>
    </font>
    <font>
      <sz val="9"/>
      <color indexed="15"/>
      <name val="Calibri"/>
    </font>
    <font>
      <b val="1"/>
      <sz val="9"/>
      <color indexed="14"/>
      <name val="Calibri"/>
    </font>
    <font>
      <b val="1"/>
      <sz val="10"/>
      <color indexed="14"/>
      <name val="Calibri"/>
    </font>
    <font>
      <sz val="11"/>
      <color indexed="12"/>
      <name val="Calibri"/>
    </font>
    <font>
      <b val="1"/>
      <sz val="12"/>
      <color indexed="12"/>
      <name val="Calibri"/>
    </font>
    <font>
      <b val="1"/>
      <sz val="12"/>
      <color indexed="8"/>
      <name val="Calibri"/>
    </font>
    <font>
      <sz val="11"/>
      <color indexed="14"/>
      <name val="Calibri"/>
    </font>
    <font>
      <sz val="9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74">
    <border>
      <left/>
      <right/>
      <top/>
      <bottom/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/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ck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ck">
        <color indexed="8"/>
      </bottom>
      <diagonal/>
    </border>
    <border>
      <left/>
      <right style="thin">
        <color indexed="11"/>
      </right>
      <top style="thin">
        <color indexed="11"/>
      </top>
      <bottom style="thick">
        <color indexed="8"/>
      </bottom>
      <diagonal/>
    </border>
    <border>
      <left/>
      <right style="thin">
        <color indexed="11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8"/>
      </left>
      <right style="thick">
        <color indexed="8"/>
      </right>
      <top style="thin">
        <color indexed="11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vertical="bottom"/>
    </xf>
    <xf numFmtId="0" fontId="5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vertical="bottom"/>
    </xf>
    <xf numFmtId="17" fontId="6" fillId="2" borderId="1" applyNumberFormat="1" applyFont="1" applyFill="1" applyBorder="1" applyAlignment="1" applyProtection="0">
      <alignment horizontal="center" vertical="bottom"/>
    </xf>
    <xf numFmtId="17" fontId="6" fillId="2" borderId="3" applyNumberFormat="1" applyFont="1" applyFill="1" applyBorder="1" applyAlignment="1" applyProtection="0">
      <alignment horizontal="center" vertical="bottom"/>
    </xf>
    <xf numFmtId="49" fontId="7" fillId="2" borderId="6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6" fillId="2" borderId="6" applyNumberFormat="1" applyFont="1" applyFill="1" applyBorder="1" applyAlignment="1" applyProtection="0">
      <alignment horizontal="center" vertical="bottom"/>
    </xf>
    <xf numFmtId="49" fontId="0" fillId="2" borderId="6" applyNumberFormat="1" applyFont="1" applyFill="1" applyBorder="1" applyAlignment="1" applyProtection="0">
      <alignment vertical="bottom"/>
    </xf>
    <xf numFmtId="0" fontId="8" fillId="2" borderId="6" applyNumberFormat="1" applyFont="1" applyFill="1" applyBorder="1" applyAlignment="1" applyProtection="0">
      <alignment vertical="bottom"/>
    </xf>
    <xf numFmtId="49" fontId="8" fillId="2" borderId="6" applyNumberFormat="1" applyFont="1" applyFill="1" applyBorder="1" applyAlignment="1" applyProtection="0">
      <alignment vertical="bottom"/>
    </xf>
    <xf numFmtId="0" fontId="8" fillId="2" borderId="6" applyNumberFormat="0" applyFont="1" applyFill="1" applyBorder="1" applyAlignment="1" applyProtection="0">
      <alignment vertical="bottom"/>
    </xf>
    <xf numFmtId="0" fontId="9" fillId="2" borderId="6" applyNumberFormat="0" applyFont="1" applyFill="1" applyBorder="1" applyAlignment="1" applyProtection="0">
      <alignment vertical="center"/>
    </xf>
    <xf numFmtId="0" fontId="9" fillId="2" borderId="7" applyNumberFormat="0" applyFont="1" applyFill="1" applyBorder="1" applyAlignment="1" applyProtection="0">
      <alignment vertical="center"/>
    </xf>
    <xf numFmtId="0" fontId="9" fillId="2" borderId="8" applyNumberFormat="0" applyFont="1" applyFill="1" applyBorder="1" applyAlignment="1" applyProtection="0">
      <alignment vertical="center"/>
    </xf>
    <xf numFmtId="0" fontId="9" fillId="2" borderId="9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9" fillId="2" borderId="6" applyNumberFormat="1" applyFont="1" applyFill="1" applyBorder="1" applyAlignment="1" applyProtection="0">
      <alignment vertical="bottom"/>
    </xf>
    <xf numFmtId="0" fontId="10" fillId="2" borderId="6" applyNumberFormat="1" applyFont="1" applyFill="1" applyBorder="1" applyAlignment="1" applyProtection="0">
      <alignment vertical="bottom"/>
    </xf>
    <xf numFmtId="0" fontId="10" fillId="2" borderId="6" applyNumberFormat="0" applyFont="1" applyFill="1" applyBorder="1" applyAlignment="1" applyProtection="0">
      <alignment vertical="bottom"/>
    </xf>
    <xf numFmtId="0" fontId="9" fillId="2" borderId="4" applyNumberFormat="0" applyFont="1" applyFill="1" applyBorder="1" applyAlignment="1" applyProtection="0">
      <alignment vertical="center"/>
    </xf>
    <xf numFmtId="0" fontId="9" fillId="2" borderId="5" applyNumberFormat="0" applyFont="1" applyFill="1" applyBorder="1" applyAlignment="1" applyProtection="0">
      <alignment vertical="center"/>
    </xf>
    <xf numFmtId="0" fontId="9" fillId="2" borderId="11" applyNumberFormat="0" applyFont="1" applyFill="1" applyBorder="1" applyAlignment="1" applyProtection="0">
      <alignment vertical="center"/>
    </xf>
    <xf numFmtId="0" fontId="0" fillId="2" borderId="6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11" fillId="2" borderId="6" applyNumberFormat="1" applyFont="1" applyFill="1" applyBorder="1" applyAlignment="1" applyProtection="0">
      <alignment horizontal="center" vertical="bottom"/>
    </xf>
    <xf numFmtId="0" fontId="11" fillId="2" borderId="6" applyNumberFormat="0" applyFont="1" applyFill="1" applyBorder="1" applyAlignment="1" applyProtection="0">
      <alignment horizontal="center" vertical="bottom"/>
    </xf>
    <xf numFmtId="0" fontId="9" fillId="2" borderId="13" applyNumberFormat="0" applyFont="1" applyFill="1" applyBorder="1" applyAlignment="1" applyProtection="0">
      <alignment vertical="center"/>
    </xf>
    <xf numFmtId="0" fontId="9" fillId="2" borderId="14" applyNumberFormat="0" applyFont="1" applyFill="1" applyBorder="1" applyAlignment="1" applyProtection="0">
      <alignment vertical="center"/>
    </xf>
    <xf numFmtId="0" fontId="9" fillId="2" borderId="15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horizontal="center" vertical="center" wrapText="1"/>
    </xf>
    <xf numFmtId="0" fontId="10" fillId="2" borderId="12" applyNumberFormat="0" applyFont="1" applyFill="1" applyBorder="1" applyAlignment="1" applyProtection="0">
      <alignment horizontal="center" vertical="center" wrapText="1"/>
    </xf>
    <xf numFmtId="0" fontId="9" fillId="2" borderId="6" applyNumberFormat="0" applyFont="1" applyFill="1" applyBorder="1" applyAlignment="1" applyProtection="0">
      <alignment vertical="bottom"/>
    </xf>
    <xf numFmtId="1" fontId="0" fillId="2" borderId="6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10" fillId="2" borderId="16" applyNumberFormat="0" applyFont="1" applyFill="1" applyBorder="1" applyAlignment="1" applyProtection="0">
      <alignment horizontal="center" vertical="center" wrapText="1"/>
    </xf>
    <xf numFmtId="0" fontId="11" fillId="2" borderId="6" applyNumberFormat="0" applyFont="1" applyFill="1" applyBorder="1" applyAlignment="1" applyProtection="0">
      <alignment vertical="bottom"/>
    </xf>
    <xf numFmtId="0" fontId="6" fillId="2" borderId="10" applyNumberFormat="1" applyFont="1" applyFill="1" applyBorder="1" applyAlignment="1" applyProtection="0">
      <alignment horizontal="center" vertical="center"/>
    </xf>
    <xf numFmtId="0" fontId="6" fillId="2" borderId="12" applyNumberFormat="0" applyFont="1" applyFill="1" applyBorder="1" applyAlignment="1" applyProtection="0">
      <alignment horizontal="center" vertical="center"/>
    </xf>
    <xf numFmtId="0" fontId="12" fillId="2" borderId="6" applyNumberFormat="0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6" fillId="2" borderId="16" applyNumberFormat="0" applyFont="1" applyFill="1" applyBorder="1" applyAlignment="1" applyProtection="0">
      <alignment horizontal="center" vertical="center"/>
    </xf>
    <xf numFmtId="1" fontId="0" fillId="2" borderId="5" applyNumberFormat="1" applyFont="1" applyFill="1" applyBorder="1" applyAlignment="1" applyProtection="0">
      <alignment vertical="bottom"/>
    </xf>
    <xf numFmtId="49" fontId="12" fillId="2" borderId="6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13" fillId="2" borderId="6" applyNumberFormat="0" applyFont="1" applyFill="1" applyBorder="1" applyAlignment="1" applyProtection="0">
      <alignment vertical="bottom"/>
    </xf>
    <xf numFmtId="0" fontId="10" fillId="3" borderId="6" applyNumberFormat="0" applyFont="1" applyFill="1" applyBorder="1" applyAlignment="1" applyProtection="0">
      <alignment vertical="bottom"/>
    </xf>
    <xf numFmtId="0" fontId="0" fillId="2" borderId="18" applyNumberFormat="1" applyFont="1" applyFill="1" applyBorder="1" applyAlignment="1" applyProtection="0">
      <alignment vertical="bottom"/>
    </xf>
    <xf numFmtId="0" fontId="0" fillId="4" borderId="19" applyNumberFormat="1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49" fontId="9" fillId="2" borderId="10" applyNumberFormat="1" applyFont="1" applyFill="1" applyBorder="1" applyAlignment="1" applyProtection="0">
      <alignment horizontal="center" vertical="center"/>
    </xf>
    <xf numFmtId="0" fontId="9" fillId="2" borderId="12" applyNumberFormat="0" applyFont="1" applyFill="1" applyBorder="1" applyAlignment="1" applyProtection="0">
      <alignment horizontal="center" vertical="center"/>
    </xf>
    <xf numFmtId="0" fontId="9" fillId="2" borderId="16" applyNumberFormat="0" applyFont="1" applyFill="1" applyBorder="1" applyAlignment="1" applyProtection="0">
      <alignment horizontal="center" vertical="center"/>
    </xf>
    <xf numFmtId="0" fontId="7" fillId="2" borderId="6" applyNumberFormat="0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0" fontId="6" fillId="2" borderId="2" applyNumberFormat="0" applyFont="1" applyFill="1" applyBorder="1" applyAlignment="1" applyProtection="0">
      <alignment vertical="bottom"/>
    </xf>
    <xf numFmtId="0" fontId="11" fillId="2" borderId="2" applyNumberFormat="0" applyFont="1" applyFill="1" applyBorder="1" applyAlignment="1" applyProtection="0">
      <alignment horizontal="center" vertical="bottom"/>
    </xf>
    <xf numFmtId="0" fontId="10" fillId="2" borderId="2" applyNumberFormat="0" applyFont="1" applyFill="1" applyBorder="1" applyAlignment="1" applyProtection="0">
      <alignment vertical="bottom"/>
    </xf>
    <xf numFmtId="0" fontId="11" fillId="2" borderId="2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6" fillId="2" borderId="8" applyNumberFormat="0" applyFont="1" applyFill="1" applyBorder="1" applyAlignment="1" applyProtection="0">
      <alignment vertical="bottom"/>
    </xf>
    <xf numFmtId="0" fontId="6" fillId="2" borderId="4" applyNumberFormat="0" applyFont="1" applyFill="1" applyBorder="1" applyAlignment="1" applyProtection="0">
      <alignment vertical="bottom"/>
    </xf>
    <xf numFmtId="0" fontId="6" fillId="2" borderId="5" applyNumberFormat="0" applyFont="1" applyFill="1" applyBorder="1" applyAlignment="1" applyProtection="0">
      <alignment vertical="bottom"/>
    </xf>
    <xf numFmtId="0" fontId="7" fillId="2" borderId="10" applyNumberFormat="0" applyFont="1" applyFill="1" applyBorder="1" applyAlignment="1" applyProtection="0">
      <alignment horizontal="center" vertical="bottom"/>
    </xf>
    <xf numFmtId="0" fontId="7" fillId="2" borderId="12" applyNumberFormat="0" applyFont="1" applyFill="1" applyBorder="1" applyAlignment="1" applyProtection="0">
      <alignment horizontal="center" vertical="bottom"/>
    </xf>
    <xf numFmtId="0" fontId="7" fillId="2" borderId="16" applyNumberFormat="0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vertical="bottom"/>
    </xf>
    <xf numFmtId="0" fontId="11" fillId="2" borderId="5" applyNumberFormat="0" applyFont="1" applyFill="1" applyBorder="1" applyAlignment="1" applyProtection="0">
      <alignment horizontal="center" vertical="bottom"/>
    </xf>
    <xf numFmtId="0" fontId="11" fillId="2" borderId="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6" fillId="2" borderId="21" applyNumberFormat="1" applyFont="1" applyFill="1" applyBorder="1" applyAlignment="1" applyProtection="0">
      <alignment horizontal="center" vertical="center"/>
    </xf>
    <xf numFmtId="0" fontId="6" fillId="2" borderId="22" applyNumberFormat="0" applyFont="1" applyFill="1" applyBorder="1" applyAlignment="1" applyProtection="0">
      <alignment horizontal="center" vertical="center"/>
    </xf>
    <xf numFmtId="0" fontId="6" fillId="2" borderId="23" applyNumberFormat="0" applyFont="1" applyFill="1" applyBorder="1" applyAlignment="1" applyProtection="0">
      <alignment horizontal="center" vertical="center"/>
    </xf>
    <xf numFmtId="49" fontId="14" fillId="2" borderId="6" applyNumberFormat="1" applyFont="1" applyFill="1" applyBorder="1" applyAlignment="1" applyProtection="0">
      <alignment vertical="bottom"/>
    </xf>
    <xf numFmtId="49" fontId="15" fillId="2" borderId="6" applyNumberFormat="1" applyFont="1" applyFill="1" applyBorder="1" applyAlignment="1" applyProtection="0">
      <alignment vertical="bottom"/>
    </xf>
    <xf numFmtId="49" fontId="15" fillId="2" borderId="16" applyNumberFormat="1" applyFont="1" applyFill="1" applyBorder="1" applyAlignment="1" applyProtection="0">
      <alignment vertical="bottom"/>
    </xf>
    <xf numFmtId="0" fontId="6" fillId="2" borderId="24" applyNumberFormat="0" applyFont="1" applyFill="1" applyBorder="1" applyAlignment="1" applyProtection="0">
      <alignment vertical="bottom"/>
    </xf>
    <xf numFmtId="0" fontId="6" fillId="2" borderId="25" applyNumberFormat="1" applyFont="1" applyFill="1" applyBorder="1" applyAlignment="1" applyProtection="0">
      <alignment horizontal="center" vertical="center"/>
    </xf>
    <xf numFmtId="49" fontId="0" fillId="2" borderId="26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center"/>
    </xf>
    <xf numFmtId="0" fontId="11" fillId="2" borderId="10" applyNumberFormat="0" applyFont="1" applyFill="1" applyBorder="1" applyAlignment="1" applyProtection="0">
      <alignment horizontal="center" vertical="bottom"/>
    </xf>
    <xf numFmtId="0" fontId="11" fillId="2" borderId="7" applyNumberFormat="0" applyFont="1" applyFill="1" applyBorder="1" applyAlignment="1" applyProtection="0">
      <alignment horizontal="center" vertical="bottom"/>
    </xf>
    <xf numFmtId="0" fontId="11" fillId="2" borderId="8" applyNumberFormat="0" applyFont="1" applyFill="1" applyBorder="1" applyAlignment="1" applyProtection="0">
      <alignment horizontal="center" vertical="bottom"/>
    </xf>
    <xf numFmtId="0" fontId="6" fillId="2" borderId="27" applyNumberFormat="0" applyFont="1" applyFill="1" applyBorder="1" applyAlignment="1" applyProtection="0">
      <alignment horizontal="center" vertical="center"/>
    </xf>
    <xf numFmtId="49" fontId="16" fillId="2" borderId="26" applyNumberFormat="1" applyFont="1" applyFill="1" applyBorder="1" applyAlignment="1" applyProtection="0">
      <alignment vertical="bottom"/>
    </xf>
    <xf numFmtId="0" fontId="9" fillId="2" borderId="6" applyNumberFormat="1" applyFont="1" applyFill="1" applyBorder="1" applyAlignment="1" applyProtection="0">
      <alignment vertical="center"/>
    </xf>
    <xf numFmtId="0" fontId="11" fillId="2" borderId="12" applyNumberFormat="0" applyFont="1" applyFill="1" applyBorder="1" applyAlignment="1" applyProtection="0">
      <alignment horizontal="center" vertical="bottom"/>
    </xf>
    <xf numFmtId="0" fontId="11" fillId="2" borderId="4" applyNumberFormat="0" applyFont="1" applyFill="1" applyBorder="1" applyAlignment="1" applyProtection="0">
      <alignment horizontal="center" vertical="bottom"/>
    </xf>
    <xf numFmtId="0" fontId="0" fillId="2" borderId="26" applyNumberFormat="0" applyFont="1" applyFill="1" applyBorder="1" applyAlignment="1" applyProtection="0">
      <alignment vertical="bottom"/>
    </xf>
    <xf numFmtId="49" fontId="6" fillId="2" borderId="26" applyNumberFormat="1" applyFont="1" applyFill="1" applyBorder="1" applyAlignment="1" applyProtection="0">
      <alignment vertical="bottom"/>
    </xf>
    <xf numFmtId="0" fontId="6" fillId="2" borderId="28" applyNumberFormat="0" applyFont="1" applyFill="1" applyBorder="1" applyAlignment="1" applyProtection="0">
      <alignment horizontal="center" vertical="center"/>
    </xf>
    <xf numFmtId="0" fontId="6" fillId="2" borderId="26" applyNumberFormat="0" applyFont="1" applyFill="1" applyBorder="1" applyAlignment="1" applyProtection="0">
      <alignment vertical="bottom"/>
    </xf>
    <xf numFmtId="0" fontId="6" fillId="2" borderId="29" applyNumberFormat="0" applyFont="1" applyFill="1" applyBorder="1" applyAlignment="1" applyProtection="0">
      <alignment horizontal="center" vertical="center"/>
    </xf>
    <xf numFmtId="0" fontId="6" fillId="2" borderId="30" applyNumberFormat="0" applyFont="1" applyFill="1" applyBorder="1" applyAlignment="1" applyProtection="0">
      <alignment vertical="bottom"/>
    </xf>
    <xf numFmtId="0" fontId="11" fillId="2" borderId="15" applyNumberFormat="0" applyFont="1" applyFill="1" applyBorder="1" applyAlignment="1" applyProtection="0">
      <alignment horizontal="center" vertical="bottom"/>
    </xf>
    <xf numFmtId="0" fontId="11" fillId="2" borderId="13" applyNumberFormat="0" applyFont="1" applyFill="1" applyBorder="1" applyAlignment="1" applyProtection="0">
      <alignment horizontal="center" vertical="bottom"/>
    </xf>
    <xf numFmtId="0" fontId="6" fillId="2" borderId="14" applyNumberFormat="0" applyFont="1" applyFill="1" applyBorder="1" applyAlignment="1" applyProtection="0">
      <alignment vertical="bottom"/>
    </xf>
    <xf numFmtId="0" fontId="11" fillId="2" borderId="14" applyNumberFormat="0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0" applyNumberFormat="0" applyFont="1" applyFill="1" applyBorder="1" applyAlignment="1" applyProtection="0">
      <alignment vertical="bottom"/>
    </xf>
    <xf numFmtId="49" fontId="17" fillId="2" borderId="6" applyNumberFormat="1" applyFont="1" applyFill="1" applyBorder="1" applyAlignment="1" applyProtection="0">
      <alignment vertical="bottom"/>
    </xf>
    <xf numFmtId="0" fontId="10" fillId="2" borderId="12" applyNumberFormat="0" applyFont="1" applyFill="1" applyBorder="1" applyAlignment="1" applyProtection="0">
      <alignment vertical="bottom"/>
    </xf>
    <xf numFmtId="0" fontId="10" fillId="2" borderId="14" applyNumberFormat="0" applyFont="1" applyFill="1" applyBorder="1" applyAlignment="1" applyProtection="0">
      <alignment vertical="bottom"/>
    </xf>
    <xf numFmtId="0" fontId="0" fillId="2" borderId="12" applyNumberFormat="1" applyFont="1" applyFill="1" applyBorder="1" applyAlignment="1" applyProtection="0">
      <alignment vertical="bottom"/>
    </xf>
    <xf numFmtId="0" fontId="10" fillId="2" borderId="12" applyNumberFormat="1" applyFont="1" applyFill="1" applyBorder="1" applyAlignment="1" applyProtection="0">
      <alignment vertical="bottom"/>
    </xf>
    <xf numFmtId="49" fontId="11" fillId="2" borderId="16" applyNumberFormat="1" applyFont="1" applyFill="1" applyBorder="1" applyAlignment="1" applyProtection="0">
      <alignment horizontal="center" vertical="bottom"/>
    </xf>
    <xf numFmtId="0" fontId="18" fillId="2" borderId="10" applyNumberFormat="0" applyFont="1" applyFill="1" applyBorder="1" applyAlignment="1" applyProtection="0">
      <alignment horizontal="center" vertical="bottom" wrapText="1"/>
    </xf>
    <xf numFmtId="0" fontId="18" fillId="2" borderId="12" applyNumberFormat="0" applyFont="1" applyFill="1" applyBorder="1" applyAlignment="1" applyProtection="0">
      <alignment horizontal="center" vertical="bottom" wrapText="1"/>
    </xf>
    <xf numFmtId="0" fontId="18" fillId="2" borderId="16" applyNumberFormat="0" applyFont="1" applyFill="1" applyBorder="1" applyAlignment="1" applyProtection="0">
      <alignment horizontal="center" vertical="bottom" wrapText="1"/>
    </xf>
    <xf numFmtId="0" fontId="15" fillId="2" borderId="6" applyNumberFormat="0" applyFont="1" applyFill="1" applyBorder="1" applyAlignment="1" applyProtection="0">
      <alignment vertical="bottom"/>
    </xf>
    <xf numFmtId="49" fontId="16" fillId="2" borderId="6" applyNumberFormat="1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17" fontId="6" fillId="2" borderId="33" applyNumberFormat="1" applyFont="1" applyFill="1" applyBorder="1" applyAlignment="1" applyProtection="0">
      <alignment horizontal="center" vertical="bottom"/>
    </xf>
    <xf numFmtId="17" fontId="6" fillId="2" borderId="34" applyNumberFormat="1" applyFont="1" applyFill="1" applyBorder="1" applyAlignment="1" applyProtection="0">
      <alignment horizontal="center" vertical="bottom"/>
    </xf>
    <xf numFmtId="49" fontId="7" fillId="2" borderId="6" applyNumberFormat="1" applyFont="1" applyFill="1" applyBorder="1" applyAlignment="1" applyProtection="0">
      <alignment vertical="bottom"/>
    </xf>
    <xf numFmtId="0" fontId="7" fillId="2" borderId="6" applyNumberFormat="0" applyFont="1" applyFill="1" applyBorder="1" applyAlignment="1" applyProtection="0">
      <alignment vertical="bottom"/>
    </xf>
    <xf numFmtId="0" fontId="7" fillId="2" borderId="6" applyNumberFormat="1" applyFont="1" applyFill="1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vertical="bottom"/>
    </xf>
    <xf numFmtId="0" fontId="7" fillId="2" borderId="3" applyNumberFormat="0" applyFont="1" applyFill="1" applyBorder="1" applyAlignment="1" applyProtection="0">
      <alignment vertical="bottom"/>
    </xf>
    <xf numFmtId="0" fontId="10" fillId="2" borderId="6" applyNumberFormat="0" applyFont="1" applyFill="1" applyBorder="1" applyAlignment="1" applyProtection="0">
      <alignment vertical="center" wrapText="1"/>
    </xf>
    <xf numFmtId="0" fontId="6" fillId="2" borderId="6" applyNumberFormat="1" applyFont="1" applyFill="1" applyBorder="1" applyAlignment="1" applyProtection="0">
      <alignment horizontal="center" vertical="center"/>
    </xf>
    <xf numFmtId="0" fontId="6" fillId="2" borderId="6" applyNumberFormat="0" applyFont="1" applyFill="1" applyBorder="1" applyAlignment="1" applyProtection="0">
      <alignment horizontal="center" vertical="center"/>
    </xf>
    <xf numFmtId="0" fontId="19" fillId="2" borderId="6" applyNumberFormat="0" applyFont="1" applyFill="1" applyBorder="1" applyAlignment="1" applyProtection="0">
      <alignment vertical="bottom"/>
    </xf>
    <xf numFmtId="0" fontId="20" fillId="2" borderId="6" applyNumberFormat="0" applyFont="1" applyFill="1" applyBorder="1" applyAlignment="1" applyProtection="0">
      <alignment vertical="bottom"/>
    </xf>
    <xf numFmtId="0" fontId="17" fillId="2" borderId="6" applyNumberFormat="0" applyFont="1" applyFill="1" applyBorder="1" applyAlignment="1" applyProtection="0">
      <alignment vertical="center" wrapText="1"/>
    </xf>
    <xf numFmtId="0" fontId="17" fillId="2" borderId="10" applyNumberFormat="0" applyFont="1" applyFill="1" applyBorder="1" applyAlignment="1" applyProtection="0">
      <alignment horizontal="center" vertical="center" wrapText="1"/>
    </xf>
    <xf numFmtId="0" fontId="17" fillId="2" borderId="12" applyNumberFormat="0" applyFont="1" applyFill="1" applyBorder="1" applyAlignment="1" applyProtection="0">
      <alignment horizontal="center" vertical="center" wrapText="1"/>
    </xf>
    <xf numFmtId="0" fontId="17" fillId="2" borderId="16" applyNumberFormat="0" applyFont="1" applyFill="1" applyBorder="1" applyAlignment="1" applyProtection="0">
      <alignment horizontal="center" vertical="center" wrapText="1"/>
    </xf>
    <xf numFmtId="49" fontId="13" fillId="2" borderId="6" applyNumberFormat="1" applyFont="1" applyFill="1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horizontal="center" vertical="bottom"/>
    </xf>
    <xf numFmtId="0" fontId="10" fillId="2" borderId="12" applyNumberFormat="0" applyFont="1" applyFill="1" applyBorder="1" applyAlignment="1" applyProtection="0">
      <alignment horizontal="center" vertical="bottom"/>
    </xf>
    <xf numFmtId="0" fontId="10" fillId="2" borderId="16" applyNumberFormat="0" applyFont="1" applyFill="1" applyBorder="1" applyAlignment="1" applyProtection="0">
      <alignment horizontal="center" vertical="bottom"/>
    </xf>
    <xf numFmtId="0" fontId="9" fillId="2" borderId="10" applyNumberFormat="0" applyFont="1" applyFill="1" applyBorder="1" applyAlignment="1" applyProtection="0">
      <alignment horizontal="center" vertical="bottom"/>
    </xf>
    <xf numFmtId="0" fontId="9" fillId="2" borderId="12" applyNumberFormat="0" applyFont="1" applyFill="1" applyBorder="1" applyAlignment="1" applyProtection="0">
      <alignment horizontal="center" vertical="bottom"/>
    </xf>
    <xf numFmtId="0" fontId="9" fillId="2" borderId="16" applyNumberFormat="0" applyFont="1" applyFill="1" applyBorder="1" applyAlignment="1" applyProtection="0">
      <alignment horizontal="center" vertical="bottom"/>
    </xf>
    <xf numFmtId="0" fontId="7" fillId="2" borderId="6" applyNumberFormat="1" applyFont="1" applyFill="1" applyBorder="1" applyAlignment="1" applyProtection="0">
      <alignment horizontal="center" vertical="center"/>
    </xf>
    <xf numFmtId="0" fontId="7" fillId="2" borderId="6" applyNumberFormat="0" applyFont="1" applyFill="1" applyBorder="1" applyAlignment="1" applyProtection="0">
      <alignment horizontal="center" vertical="center"/>
    </xf>
    <xf numFmtId="0" fontId="18" fillId="2" borderId="6" applyNumberFormat="0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horizontal="center" vertical="center"/>
    </xf>
    <xf numFmtId="3" fontId="8" fillId="2" borderId="6" applyNumberFormat="1" applyFont="1" applyFill="1" applyBorder="1" applyAlignment="1" applyProtection="0">
      <alignment vertical="bottom"/>
    </xf>
    <xf numFmtId="14" fontId="11" fillId="2" borderId="6" applyNumberFormat="1" applyFont="1" applyFill="1" applyBorder="1" applyAlignment="1" applyProtection="0">
      <alignment horizontal="center" vertical="bottom"/>
    </xf>
    <xf numFmtId="0" fontId="8" fillId="2" borderId="6" applyNumberFormat="1" applyFont="1" applyFill="1" applyBorder="1" applyAlignment="1" applyProtection="0">
      <alignment vertical="center"/>
    </xf>
    <xf numFmtId="0" fontId="16" fillId="2" borderId="10" applyNumberFormat="0" applyFont="1" applyFill="1" applyBorder="1" applyAlignment="1" applyProtection="0">
      <alignment vertical="center"/>
    </xf>
    <xf numFmtId="0" fontId="16" fillId="2" borderId="6" applyNumberFormat="1" applyFont="1" applyFill="1" applyBorder="1" applyAlignment="1" applyProtection="0">
      <alignment vertical="center"/>
    </xf>
    <xf numFmtId="0" fontId="16" fillId="2" borderId="12" applyNumberFormat="0" applyFont="1" applyFill="1" applyBorder="1" applyAlignment="1" applyProtection="0">
      <alignment vertical="center"/>
    </xf>
    <xf numFmtId="0" fontId="16" fillId="2" borderId="16" applyNumberFormat="0" applyFont="1" applyFill="1" applyBorder="1" applyAlignment="1" applyProtection="0">
      <alignment vertical="center"/>
    </xf>
    <xf numFmtId="49" fontId="11" fillId="2" borderId="6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16" fillId="2" borderId="6" applyNumberFormat="0" applyFont="1" applyFill="1" applyBorder="1" applyAlignment="1" applyProtection="0">
      <alignment vertical="center"/>
    </xf>
    <xf numFmtId="0" fontId="16" fillId="2" borderId="6" applyNumberFormat="0" applyFont="1" applyFill="1" applyBorder="1" applyAlignment="1" applyProtection="0">
      <alignment vertical="bottom"/>
    </xf>
    <xf numFmtId="0" fontId="8" fillId="2" borderId="6" applyNumberFormat="0" applyFont="1" applyFill="1" applyBorder="1" applyAlignment="1" applyProtection="0">
      <alignment vertical="center"/>
    </xf>
    <xf numFmtId="0" fontId="17" fillId="2" borderId="6" applyNumberFormat="0" applyFont="1" applyFill="1" applyBorder="1" applyAlignment="1" applyProtection="0">
      <alignment vertical="bottom"/>
    </xf>
    <xf numFmtId="49" fontId="8" fillId="2" borderId="6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21" fillId="2" borderId="35" applyNumberFormat="1" applyFont="1" applyFill="1" applyBorder="1" applyAlignment="1" applyProtection="0">
      <alignment horizontal="center" vertical="bottom"/>
    </xf>
    <xf numFmtId="0" fontId="21" fillId="2" borderId="36" applyNumberFormat="0" applyFont="1" applyFill="1" applyBorder="1" applyAlignment="1" applyProtection="0">
      <alignment horizontal="center" vertical="bottom"/>
    </xf>
    <xf numFmtId="0" fontId="21" fillId="2" borderId="36" applyNumberFormat="0" applyFont="1" applyFill="1" applyBorder="1" applyAlignment="1" applyProtection="0">
      <alignment vertical="bottom"/>
    </xf>
    <xf numFmtId="0" fontId="21" fillId="2" borderId="37" applyNumberFormat="0" applyFont="1" applyFill="1" applyBorder="1" applyAlignment="1" applyProtection="0">
      <alignment vertical="bottom"/>
    </xf>
    <xf numFmtId="0" fontId="0" fillId="2" borderId="38" applyNumberFormat="0" applyFont="1" applyFill="1" applyBorder="1" applyAlignment="1" applyProtection="0">
      <alignment vertical="bottom"/>
    </xf>
    <xf numFmtId="49" fontId="0" fillId="2" borderId="39" applyNumberFormat="1" applyFont="1" applyFill="1" applyBorder="1" applyAlignment="1" applyProtection="0">
      <alignment vertical="bottom"/>
    </xf>
    <xf numFmtId="17" fontId="7" fillId="2" borderId="6" applyNumberFormat="1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0" fontId="0" fillId="2" borderId="40" applyNumberFormat="1" applyFont="1" applyFill="1" applyBorder="1" applyAlignment="1" applyProtection="0">
      <alignment vertical="bottom"/>
    </xf>
    <xf numFmtId="0" fontId="0" fillId="2" borderId="38" applyNumberFormat="1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0" fontId="23" fillId="2" borderId="6" applyNumberFormat="0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  <xf numFmtId="0" fontId="22" fillId="2" borderId="41" applyNumberFormat="1" applyFont="1" applyFill="1" applyBorder="1" applyAlignment="1" applyProtection="0">
      <alignment horizontal="center" vertical="center"/>
    </xf>
    <xf numFmtId="0" fontId="22" fillId="2" borderId="42" applyNumberFormat="0" applyFont="1" applyFill="1" applyBorder="1" applyAlignment="1" applyProtection="0">
      <alignment horizontal="center" vertical="center"/>
    </xf>
    <xf numFmtId="0" fontId="22" fillId="2" borderId="43" applyNumberFormat="0" applyFont="1" applyFill="1" applyBorder="1" applyAlignment="1" applyProtection="0">
      <alignment horizontal="center" vertical="center"/>
    </xf>
    <xf numFmtId="0" fontId="22" fillId="2" borderId="6" applyNumberFormat="0" applyFont="1" applyFill="1" applyBorder="1" applyAlignment="1" applyProtection="0">
      <alignment horizontal="center" vertical="bottom"/>
    </xf>
    <xf numFmtId="0" fontId="8" fillId="2" borderId="6" applyNumberFormat="1" applyFont="1" applyFill="1" applyBorder="1" applyAlignment="1" applyProtection="0">
      <alignment horizontal="center" vertical="bottom"/>
    </xf>
    <xf numFmtId="0" fontId="8" fillId="2" borderId="6" applyNumberFormat="0" applyFont="1" applyFill="1" applyBorder="1" applyAlignment="1" applyProtection="0">
      <alignment horizontal="center" vertical="bottom"/>
    </xf>
    <xf numFmtId="0" fontId="10" fillId="2" borderId="6" applyNumberFormat="1" applyFont="1" applyFill="1" applyBorder="1" applyAlignment="1" applyProtection="0">
      <alignment horizontal="center" vertical="bottom"/>
    </xf>
    <xf numFmtId="0" fontId="10" fillId="2" borderId="6" applyNumberFormat="0" applyFont="1" applyFill="1" applyBorder="1" applyAlignment="1" applyProtection="0">
      <alignment horizontal="center" vertical="bottom"/>
    </xf>
    <xf numFmtId="0" fontId="17" fillId="2" borderId="40" applyNumberFormat="0" applyFont="1" applyFill="1" applyBorder="1" applyAlignment="1" applyProtection="0">
      <alignment vertical="bottom"/>
    </xf>
    <xf numFmtId="0" fontId="0" fillId="2" borderId="44" applyNumberFormat="1" applyFont="1" applyFill="1" applyBorder="1" applyAlignment="1" applyProtection="0">
      <alignment vertical="bottom"/>
    </xf>
    <xf numFmtId="0" fontId="0" fillId="4" borderId="19" applyNumberFormat="0" applyFont="1" applyFill="1" applyBorder="1" applyAlignment="1" applyProtection="0">
      <alignment vertical="bottom"/>
    </xf>
    <xf numFmtId="49" fontId="23" fillId="2" borderId="6" applyNumberFormat="1" applyFont="1" applyFill="1" applyBorder="1" applyAlignment="1" applyProtection="0">
      <alignment vertical="bottom"/>
    </xf>
    <xf numFmtId="0" fontId="22" fillId="2" borderId="21" applyNumberFormat="1" applyFont="1" applyFill="1" applyBorder="1" applyAlignment="1" applyProtection="0">
      <alignment horizontal="center" vertical="center"/>
    </xf>
    <xf numFmtId="0" fontId="22" fillId="2" borderId="22" applyNumberFormat="0" applyFont="1" applyFill="1" applyBorder="1" applyAlignment="1" applyProtection="0">
      <alignment horizontal="center" vertical="center"/>
    </xf>
    <xf numFmtId="0" fontId="9" fillId="2" borderId="6" applyNumberFormat="1" applyFont="1" applyFill="1" applyBorder="1" applyAlignment="1" applyProtection="0">
      <alignment horizontal="center" vertical="bottom"/>
    </xf>
    <xf numFmtId="0" fontId="9" fillId="2" borderId="6" applyNumberFormat="0" applyFont="1" applyFill="1" applyBorder="1" applyAlignment="1" applyProtection="0">
      <alignment horizontal="center" vertical="bottom"/>
    </xf>
    <xf numFmtId="0" fontId="22" fillId="2" borderId="23" applyNumberFormat="0" applyFont="1" applyFill="1" applyBorder="1" applyAlignment="1" applyProtection="0">
      <alignment horizontal="center" vertical="center"/>
    </xf>
    <xf numFmtId="0" fontId="22" fillId="2" borderId="31" applyNumberFormat="0" applyFont="1" applyFill="1" applyBorder="1" applyAlignment="1" applyProtection="0">
      <alignment horizontal="center" vertical="center"/>
    </xf>
    <xf numFmtId="0" fontId="7" fillId="2" borderId="2" applyNumberFormat="0" applyFont="1" applyFill="1" applyBorder="1" applyAlignment="1" applyProtection="0">
      <alignment horizontal="center" vertical="bottom"/>
    </xf>
    <xf numFmtId="49" fontId="4" fillId="2" borderId="45" applyNumberFormat="1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0" fontId="21" fillId="2" borderId="2" applyNumberFormat="0" applyFont="1" applyFill="1" applyBorder="1" applyAlignment="1" applyProtection="0">
      <alignment vertical="bottom"/>
    </xf>
    <xf numFmtId="0" fontId="21" fillId="2" borderId="3" applyNumberFormat="0" applyFont="1" applyFill="1" applyBorder="1" applyAlignment="1" applyProtection="0">
      <alignment vertical="bottom"/>
    </xf>
    <xf numFmtId="49" fontId="22" fillId="2" borderId="40" applyNumberFormat="1" applyFont="1" applyFill="1" applyBorder="1" applyAlignment="1" applyProtection="0">
      <alignment horizontal="center" vertical="bottom"/>
    </xf>
    <xf numFmtId="17" fontId="8" fillId="2" borderId="6" applyNumberFormat="1" applyFont="1" applyFill="1" applyBorder="1" applyAlignment="1" applyProtection="0">
      <alignment vertical="bottom"/>
    </xf>
    <xf numFmtId="0" fontId="22" fillId="2" borderId="40" applyNumberFormat="0" applyFont="1" applyFill="1" applyBorder="1" applyAlignment="1" applyProtection="0">
      <alignment horizontal="center" vertical="bottom"/>
    </xf>
    <xf numFmtId="17" fontId="9" fillId="2" borderId="6" applyNumberFormat="1" applyFont="1" applyFill="1" applyBorder="1" applyAlignment="1" applyProtection="0">
      <alignment vertical="bottom"/>
    </xf>
    <xf numFmtId="17" fontId="11" fillId="2" borderId="6" applyNumberFormat="1" applyFont="1" applyFill="1" applyBorder="1" applyAlignment="1" applyProtection="0">
      <alignment vertical="bottom"/>
    </xf>
    <xf numFmtId="17" fontId="0" fillId="2" borderId="6" applyNumberFormat="1" applyFont="1" applyFill="1" applyBorder="1" applyAlignment="1" applyProtection="0">
      <alignment vertical="bottom"/>
    </xf>
    <xf numFmtId="49" fontId="24" fillId="2" borderId="6" applyNumberFormat="1" applyFont="1" applyFill="1" applyBorder="1" applyAlignment="1" applyProtection="0">
      <alignment vertical="bottom"/>
    </xf>
    <xf numFmtId="0" fontId="25" fillId="2" borderId="6" applyNumberFormat="0" applyFont="1" applyFill="1" applyBorder="1" applyAlignment="1" applyProtection="0">
      <alignment vertical="bottom"/>
    </xf>
    <xf numFmtId="0" fontId="22" fillId="2" borderId="46" applyNumberFormat="1" applyFont="1" applyFill="1" applyBorder="1" applyAlignment="1" applyProtection="0">
      <alignment horizontal="center" vertical="center"/>
    </xf>
    <xf numFmtId="17" fontId="0" fillId="2" borderId="8" applyNumberFormat="1" applyFont="1" applyFill="1" applyBorder="1" applyAlignment="1" applyProtection="0">
      <alignment vertical="bottom"/>
    </xf>
    <xf numFmtId="0" fontId="22" fillId="2" borderId="8" applyNumberFormat="0" applyFont="1" applyFill="1" applyBorder="1" applyAlignment="1" applyProtection="0">
      <alignment horizontal="center" vertical="bottom"/>
    </xf>
    <xf numFmtId="0" fontId="22" fillId="2" borderId="47" applyNumberFormat="0" applyFont="1" applyFill="1" applyBorder="1" applyAlignment="1" applyProtection="0">
      <alignment horizontal="center" vertical="center"/>
    </xf>
    <xf numFmtId="17" fontId="0" fillId="2" borderId="5" applyNumberFormat="1" applyFont="1" applyFill="1" applyBorder="1" applyAlignment="1" applyProtection="0">
      <alignment vertical="bottom"/>
    </xf>
    <xf numFmtId="0" fontId="22" fillId="2" borderId="5" applyNumberFormat="0" applyFont="1" applyFill="1" applyBorder="1" applyAlignment="1" applyProtection="0">
      <alignment horizontal="center" vertical="bottom"/>
    </xf>
    <xf numFmtId="0" fontId="0" fillId="2" borderId="48" applyNumberFormat="0" applyFont="1" applyFill="1" applyBorder="1" applyAlignment="1" applyProtection="0">
      <alignment vertical="bottom"/>
    </xf>
    <xf numFmtId="17" fontId="0" fillId="2" borderId="2" applyNumberFormat="1" applyFont="1" applyFill="1" applyBorder="1" applyAlignment="1" applyProtection="0">
      <alignment vertical="bottom"/>
    </xf>
    <xf numFmtId="17" fontId="0" fillId="2" borderId="3" applyNumberFormat="1" applyFont="1" applyFill="1" applyBorder="1" applyAlignment="1" applyProtection="0">
      <alignment vertical="bottom"/>
    </xf>
    <xf numFmtId="49" fontId="26" fillId="2" borderId="6" applyNumberFormat="1" applyFont="1" applyFill="1" applyBorder="1" applyAlignment="1" applyProtection="0">
      <alignment vertical="bottom"/>
    </xf>
    <xf numFmtId="49" fontId="8" fillId="2" borderId="10" applyNumberFormat="1" applyFont="1" applyFill="1" applyBorder="1" applyAlignment="1" applyProtection="0">
      <alignment horizontal="center" vertical="center"/>
    </xf>
    <xf numFmtId="0" fontId="8" fillId="2" borderId="12" applyNumberFormat="0" applyFont="1" applyFill="1" applyBorder="1" applyAlignment="1" applyProtection="0">
      <alignment horizontal="center" vertical="center"/>
    </xf>
    <xf numFmtId="0" fontId="22" fillId="2" borderId="49" applyNumberFormat="0" applyFont="1" applyFill="1" applyBorder="1" applyAlignment="1" applyProtection="0">
      <alignment horizontal="center" vertical="center"/>
    </xf>
    <xf numFmtId="0" fontId="8" fillId="2" borderId="16" applyNumberFormat="0" applyFont="1" applyFill="1" applyBorder="1" applyAlignment="1" applyProtection="0">
      <alignment horizontal="center" vertical="center"/>
    </xf>
    <xf numFmtId="0" fontId="7" fillId="2" borderId="5" applyNumberFormat="0" applyFont="1" applyFill="1" applyBorder="1" applyAlignment="1" applyProtection="0">
      <alignment vertical="bottom"/>
    </xf>
    <xf numFmtId="0" fontId="7" fillId="2" borderId="5" applyNumberFormat="0" applyFont="1" applyFill="1" applyBorder="1" applyAlignment="1" applyProtection="0">
      <alignment horizontal="center" vertical="bottom"/>
    </xf>
    <xf numFmtId="0" fontId="17" fillId="2" borderId="5" applyNumberFormat="0" applyFont="1" applyFill="1" applyBorder="1" applyAlignment="1" applyProtection="0">
      <alignment horizontal="center" vertical="bottom"/>
    </xf>
    <xf numFmtId="0" fontId="17" fillId="2" borderId="5" applyNumberFormat="0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3" fillId="2" borderId="14" applyNumberFormat="1" applyFont="1" applyFill="1" applyBorder="1" applyAlignment="1" applyProtection="0">
      <alignment horizontal="center" vertical="bottom"/>
    </xf>
    <xf numFmtId="0" fontId="3" fillId="2" borderId="14" applyNumberFormat="0" applyFont="1" applyFill="1" applyBorder="1" applyAlignment="1" applyProtection="0">
      <alignment horizontal="center" vertical="bottom"/>
    </xf>
    <xf numFmtId="0" fontId="3" fillId="2" borderId="5" applyNumberFormat="0" applyFont="1" applyFill="1" applyBorder="1" applyAlignment="1" applyProtection="0">
      <alignment horizontal="center" vertical="bottom"/>
    </xf>
    <xf numFmtId="0" fontId="3" fillId="2" borderId="14" applyNumberFormat="0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vertical="bottom"/>
    </xf>
    <xf numFmtId="49" fontId="27" fillId="2" borderId="6" applyNumberFormat="1" applyFont="1" applyFill="1" applyBorder="1" applyAlignment="1" applyProtection="0">
      <alignment vertical="bottom"/>
    </xf>
    <xf numFmtId="0" fontId="27" fillId="2" borderId="13" applyNumberFormat="0" applyFont="1" applyFill="1" applyBorder="1" applyAlignment="1" applyProtection="0">
      <alignment vertical="bottom"/>
    </xf>
    <xf numFmtId="0" fontId="27" fillId="2" borderId="15" applyNumberFormat="0" applyFont="1" applyFill="1" applyBorder="1" applyAlignment="1" applyProtection="0">
      <alignment vertical="bottom"/>
    </xf>
    <xf numFmtId="17" fontId="7" fillId="2" borderId="1" applyNumberFormat="1" applyFont="1" applyFill="1" applyBorder="1" applyAlignment="1" applyProtection="0">
      <alignment horizontal="center" vertical="bottom"/>
    </xf>
    <xf numFmtId="17" fontId="7" fillId="2" borderId="2" applyNumberFormat="1" applyFont="1" applyFill="1" applyBorder="1" applyAlignment="1" applyProtection="0">
      <alignment horizontal="center" vertical="bottom"/>
    </xf>
    <xf numFmtId="17" fontId="7" fillId="2" borderId="3" applyNumberFormat="1" applyFont="1" applyFill="1" applyBorder="1" applyAlignment="1" applyProtection="0">
      <alignment horizontal="center" vertical="bottom"/>
    </xf>
    <xf numFmtId="17" fontId="7" fillId="2" borderId="3" applyNumberFormat="1" applyFont="1" applyFill="1" applyBorder="1" applyAlignment="1" applyProtection="0">
      <alignment vertical="bottom"/>
    </xf>
    <xf numFmtId="0" fontId="27" fillId="2" borderId="1" applyNumberFormat="0" applyFont="1" applyFill="1" applyBorder="1" applyAlignment="1" applyProtection="0">
      <alignment vertical="bottom"/>
    </xf>
    <xf numFmtId="0" fontId="27" fillId="2" borderId="6" applyNumberFormat="1" applyFont="1" applyFill="1" applyBorder="1" applyAlignment="1" applyProtection="0">
      <alignment horizontal="center" vertical="bottom"/>
    </xf>
    <xf numFmtId="1" fontId="0" fillId="2" borderId="12" applyNumberFormat="1" applyFont="1" applyFill="1" applyBorder="1" applyAlignment="1" applyProtection="0">
      <alignment vertical="bottom"/>
    </xf>
    <xf numFmtId="0" fontId="27" fillId="2" borderId="6" applyNumberFormat="0" applyFont="1" applyFill="1" applyBorder="1" applyAlignment="1" applyProtection="0">
      <alignment vertical="bottom"/>
    </xf>
    <xf numFmtId="0" fontId="27" fillId="2" borderId="6" applyNumberFormat="1" applyFont="1" applyFill="1" applyBorder="1" applyAlignment="1" applyProtection="0">
      <alignment horizontal="center" vertical="center"/>
    </xf>
    <xf numFmtId="0" fontId="27" fillId="2" borderId="6" applyNumberFormat="0" applyFont="1" applyFill="1" applyBorder="1" applyAlignment="1" applyProtection="0">
      <alignment horizontal="center" vertical="center"/>
    </xf>
    <xf numFmtId="49" fontId="9" fillId="2" borderId="6" applyNumberFormat="1" applyFont="1" applyFill="1" applyBorder="1" applyAlignment="1" applyProtection="0">
      <alignment vertical="bottom"/>
    </xf>
    <xf numFmtId="0" fontId="26" fillId="2" borderId="10" applyNumberFormat="0" applyFont="1" applyFill="1" applyBorder="1" applyAlignment="1" applyProtection="0">
      <alignment horizontal="center" vertical="center" wrapText="1"/>
    </xf>
    <xf numFmtId="0" fontId="26" fillId="2" borderId="12" applyNumberFormat="0" applyFont="1" applyFill="1" applyBorder="1" applyAlignment="1" applyProtection="0">
      <alignment horizontal="center" vertical="center" wrapText="1"/>
    </xf>
    <xf numFmtId="0" fontId="26" fillId="2" borderId="16" applyNumberFormat="0" applyFont="1" applyFill="1" applyBorder="1" applyAlignment="1" applyProtection="0">
      <alignment horizontal="center" vertical="center" wrapText="1"/>
    </xf>
    <xf numFmtId="0" fontId="17" fillId="2" borderId="10" applyNumberFormat="0" applyFont="1" applyFill="1" applyBorder="1" applyAlignment="1" applyProtection="0">
      <alignment horizontal="center" vertical="bottom" wrapText="1"/>
    </xf>
    <xf numFmtId="0" fontId="17" fillId="2" borderId="12" applyNumberFormat="0" applyFont="1" applyFill="1" applyBorder="1" applyAlignment="1" applyProtection="0">
      <alignment horizontal="center" vertical="bottom" wrapText="1"/>
    </xf>
    <xf numFmtId="0" fontId="17" fillId="2" borderId="16" applyNumberFormat="0" applyFont="1" applyFill="1" applyBorder="1" applyAlignment="1" applyProtection="0">
      <alignment horizontal="center" vertical="bottom" wrapText="1"/>
    </xf>
    <xf numFmtId="0" fontId="18" fillId="2" borderId="21" applyNumberFormat="0" applyFont="1" applyFill="1" applyBorder="1" applyAlignment="1" applyProtection="0">
      <alignment horizontal="center" vertical="bottom" wrapText="1"/>
    </xf>
    <xf numFmtId="0" fontId="18" fillId="2" borderId="22" applyNumberFormat="0" applyFont="1" applyFill="1" applyBorder="1" applyAlignment="1" applyProtection="0">
      <alignment horizontal="center" vertical="bottom" wrapText="1"/>
    </xf>
    <xf numFmtId="0" fontId="18" fillId="2" borderId="23" applyNumberFormat="0" applyFont="1" applyFill="1" applyBorder="1" applyAlignment="1" applyProtection="0">
      <alignment horizontal="center" vertical="bottom" wrapText="1"/>
    </xf>
    <xf numFmtId="0" fontId="17" fillId="2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35" applyNumberFormat="1" applyFont="1" applyFill="1" applyBorder="1" applyAlignment="1" applyProtection="0">
      <alignment horizontal="center" vertical="bottom"/>
    </xf>
    <xf numFmtId="0" fontId="3" fillId="2" borderId="36" applyNumberFormat="0" applyFont="1" applyFill="1" applyBorder="1" applyAlignment="1" applyProtection="0">
      <alignment horizontal="center" vertical="bottom"/>
    </xf>
    <xf numFmtId="0" fontId="3" fillId="2" borderId="50" applyNumberFormat="0" applyFont="1" applyFill="1" applyBorder="1" applyAlignment="1" applyProtection="0">
      <alignment horizontal="center" vertical="bottom"/>
    </xf>
    <xf numFmtId="0" fontId="3" fillId="2" borderId="50" applyNumberFormat="0" applyFont="1" applyFill="1" applyBorder="1" applyAlignment="1" applyProtection="0">
      <alignment vertical="bottom"/>
    </xf>
    <xf numFmtId="0" fontId="3" fillId="2" borderId="51" applyNumberFormat="0" applyFont="1" applyFill="1" applyBorder="1" applyAlignment="1" applyProtection="0">
      <alignment vertical="bottom"/>
    </xf>
    <xf numFmtId="0" fontId="3" fillId="2" borderId="38" applyNumberFormat="0" applyFont="1" applyFill="1" applyBorder="1" applyAlignment="1" applyProtection="0">
      <alignment vertical="bottom"/>
    </xf>
    <xf numFmtId="0" fontId="28" fillId="2" borderId="52" applyNumberFormat="0" applyFont="1" applyFill="1" applyBorder="1" applyAlignment="1" applyProtection="0">
      <alignment vertical="bottom"/>
    </xf>
    <xf numFmtId="17" fontId="28" fillId="2" borderId="53" applyNumberFormat="1" applyFont="1" applyFill="1" applyBorder="1" applyAlignment="1" applyProtection="0">
      <alignment horizontal="center" vertical="bottom"/>
    </xf>
    <xf numFmtId="17" fontId="28" fillId="2" borderId="54" applyNumberFormat="1" applyFont="1" applyFill="1" applyBorder="1" applyAlignment="1" applyProtection="0">
      <alignment horizontal="center" vertical="bottom"/>
    </xf>
    <xf numFmtId="49" fontId="29" fillId="2" borderId="55" applyNumberFormat="1" applyFont="1" applyFill="1" applyBorder="1" applyAlignment="1" applyProtection="0">
      <alignment horizontal="center" vertical="bottom"/>
    </xf>
    <xf numFmtId="0" fontId="27" fillId="2" borderId="3" applyNumberFormat="0" applyFont="1" applyFill="1" applyBorder="1" applyAlignment="1" applyProtection="0">
      <alignment vertical="bottom"/>
    </xf>
    <xf numFmtId="0" fontId="6" fillId="2" borderId="10" applyNumberFormat="0" applyFont="1" applyFill="1" applyBorder="1" applyAlignment="1" applyProtection="0">
      <alignment vertical="bottom"/>
    </xf>
    <xf numFmtId="0" fontId="6" fillId="2" borderId="56" applyNumberFormat="0" applyFont="1" applyFill="1" applyBorder="1" applyAlignment="1" applyProtection="0">
      <alignment vertical="bottom"/>
    </xf>
    <xf numFmtId="0" fontId="27" fillId="2" borderId="56" applyNumberFormat="0" applyFont="1" applyFill="1" applyBorder="1" applyAlignment="1" applyProtection="0">
      <alignment vertical="bottom"/>
    </xf>
    <xf numFmtId="0" fontId="0" fillId="2" borderId="57" applyNumberFormat="0" applyFont="1" applyFill="1" applyBorder="1" applyAlignment="1" applyProtection="0">
      <alignment vertical="bottom"/>
    </xf>
    <xf numFmtId="49" fontId="7" fillId="2" borderId="12" applyNumberFormat="1" applyFont="1" applyFill="1" applyBorder="1" applyAlignment="1" applyProtection="0">
      <alignment vertical="bottom"/>
    </xf>
    <xf numFmtId="0" fontId="6" fillId="2" borderId="12" applyNumberFormat="0" applyFont="1" applyFill="1" applyBorder="1" applyAlignment="1" applyProtection="0">
      <alignment vertical="bottom"/>
    </xf>
    <xf numFmtId="49" fontId="6" fillId="2" borderId="52" applyNumberFormat="1" applyFont="1" applyFill="1" applyBorder="1" applyAlignment="1" applyProtection="0">
      <alignment vertical="bottom"/>
    </xf>
    <xf numFmtId="0" fontId="7" fillId="2" borderId="52" applyNumberFormat="0" applyFont="1" applyFill="1" applyBorder="1" applyAlignment="1" applyProtection="0">
      <alignment vertical="bottom"/>
    </xf>
    <xf numFmtId="49" fontId="27" fillId="2" borderId="52" applyNumberFormat="1" applyFont="1" applyFill="1" applyBorder="1" applyAlignment="1" applyProtection="0">
      <alignment vertical="bottom"/>
    </xf>
    <xf numFmtId="0" fontId="0" fillId="2" borderId="55" applyNumberFormat="0" applyFont="1" applyFill="1" applyBorder="1" applyAlignment="1" applyProtection="0">
      <alignment vertical="bottom"/>
    </xf>
    <xf numFmtId="0" fontId="6" fillId="2" borderId="16" applyNumberFormat="0" applyFont="1" applyFill="1" applyBorder="1" applyAlignment="1" applyProtection="0">
      <alignment vertical="bottom"/>
    </xf>
    <xf numFmtId="0" fontId="9" fillId="2" borderId="16" applyNumberFormat="1" applyFont="1" applyFill="1" applyBorder="1" applyAlignment="1" applyProtection="0">
      <alignment vertical="bottom"/>
    </xf>
    <xf numFmtId="0" fontId="11" fillId="2" borderId="56" applyNumberFormat="0" applyFont="1" applyFill="1" applyBorder="1" applyAlignment="1" applyProtection="0">
      <alignment vertical="bottom"/>
    </xf>
    <xf numFmtId="0" fontId="6" fillId="2" borderId="58" applyNumberFormat="0" applyFont="1" applyFill="1" applyBorder="1" applyAlignment="1" applyProtection="0">
      <alignment vertical="bottom"/>
    </xf>
    <xf numFmtId="0" fontId="27" fillId="2" borderId="59" applyNumberFormat="0" applyFont="1" applyFill="1" applyBorder="1" applyAlignment="1" applyProtection="0">
      <alignment vertical="bottom"/>
    </xf>
    <xf numFmtId="0" fontId="27" fillId="2" borderId="60" applyNumberFormat="0" applyFont="1" applyFill="1" applyBorder="1" applyAlignment="1" applyProtection="0">
      <alignment vertical="bottom"/>
    </xf>
    <xf numFmtId="49" fontId="7" fillId="2" borderId="52" applyNumberFormat="1" applyFont="1" applyFill="1" applyBorder="1" applyAlignment="1" applyProtection="0">
      <alignment vertical="bottom"/>
    </xf>
    <xf numFmtId="0" fontId="6" fillId="2" borderId="52" applyNumberFormat="0" applyFont="1" applyFill="1" applyBorder="1" applyAlignment="1" applyProtection="0">
      <alignment vertical="bottom"/>
    </xf>
    <xf numFmtId="0" fontId="27" fillId="2" borderId="52" applyNumberFormat="0" applyFont="1" applyFill="1" applyBorder="1" applyAlignment="1" applyProtection="0">
      <alignment vertical="bottom"/>
    </xf>
    <xf numFmtId="49" fontId="6" fillId="2" borderId="56" applyNumberFormat="1" applyFont="1" applyFill="1" applyBorder="1" applyAlignment="1" applyProtection="0">
      <alignment vertical="bottom"/>
    </xf>
    <xf numFmtId="0" fontId="30" fillId="2" borderId="6" applyNumberFormat="0" applyFont="1" applyFill="1" applyBorder="1" applyAlignment="1" applyProtection="0">
      <alignment vertical="bottom"/>
    </xf>
    <xf numFmtId="0" fontId="27" fillId="2" borderId="10" applyNumberFormat="0" applyFont="1" applyFill="1" applyBorder="1" applyAlignment="1" applyProtection="0">
      <alignment vertical="bottom"/>
    </xf>
    <xf numFmtId="0" fontId="27" fillId="2" borderId="61" applyNumberFormat="0" applyFont="1" applyFill="1" applyBorder="1" applyAlignment="1" applyProtection="0">
      <alignment vertical="bottom"/>
    </xf>
    <xf numFmtId="0" fontId="27" fillId="2" borderId="62" applyNumberFormat="0" applyFont="1" applyFill="1" applyBorder="1" applyAlignment="1" applyProtection="0">
      <alignment vertical="bottom"/>
    </xf>
    <xf numFmtId="0" fontId="30" fillId="2" borderId="2" applyNumberFormat="0" applyFont="1" applyFill="1" applyBorder="1" applyAlignment="1" applyProtection="0">
      <alignment vertical="bottom"/>
    </xf>
    <xf numFmtId="0" fontId="27" fillId="2" borderId="2" applyNumberFormat="0" applyFont="1" applyFill="1" applyBorder="1" applyAlignment="1" applyProtection="0">
      <alignment vertical="bottom"/>
    </xf>
    <xf numFmtId="0" fontId="0" fillId="2" borderId="63" applyNumberFormat="0" applyFont="1" applyFill="1" applyBorder="1" applyAlignment="1" applyProtection="0">
      <alignment vertical="bottom"/>
    </xf>
    <xf numFmtId="0" fontId="0" fillId="2" borderId="62" applyNumberFormat="0" applyFont="1" applyFill="1" applyBorder="1" applyAlignment="1" applyProtection="0">
      <alignment vertical="bottom"/>
    </xf>
    <xf numFmtId="0" fontId="27" fillId="2" borderId="8" applyNumberFormat="0" applyFont="1" applyFill="1" applyBorder="1" applyAlignment="1" applyProtection="0">
      <alignment vertical="bottom"/>
    </xf>
    <xf numFmtId="0" fontId="27" fillId="2" borderId="4" applyNumberFormat="0" applyFont="1" applyFill="1" applyBorder="1" applyAlignment="1" applyProtection="0">
      <alignment vertical="bottom"/>
    </xf>
    <xf numFmtId="0" fontId="27" fillId="2" borderId="5" applyNumberFormat="0" applyFont="1" applyFill="1" applyBorder="1" applyAlignment="1" applyProtection="0">
      <alignment vertical="bottom"/>
    </xf>
    <xf numFmtId="0" fontId="0" fillId="2" borderId="64" applyNumberFormat="0" applyFont="1" applyFill="1" applyBorder="1" applyAlignment="1" applyProtection="0">
      <alignment vertical="bottom"/>
    </xf>
    <xf numFmtId="0" fontId="0" fillId="2" borderId="65" applyNumberFormat="0" applyFont="1" applyFill="1" applyBorder="1" applyAlignment="1" applyProtection="0">
      <alignment vertical="bottom"/>
    </xf>
    <xf numFmtId="0" fontId="0" fillId="2" borderId="66" applyNumberFormat="0" applyFont="1" applyFill="1" applyBorder="1" applyAlignment="1" applyProtection="0">
      <alignment vertical="bottom"/>
    </xf>
    <xf numFmtId="0" fontId="30" fillId="2" borderId="8" applyNumberFormat="0" applyFont="1" applyFill="1" applyBorder="1" applyAlignment="1" applyProtection="0">
      <alignment vertical="bottom"/>
    </xf>
    <xf numFmtId="0" fontId="0" fillId="2" borderId="67" applyNumberFormat="0" applyFont="1" applyFill="1" applyBorder="1" applyAlignment="1" applyProtection="0">
      <alignment vertical="bottom"/>
    </xf>
    <xf numFmtId="0" fontId="0" fillId="2" borderId="68" applyNumberFormat="0" applyFont="1" applyFill="1" applyBorder="1" applyAlignment="1" applyProtection="0">
      <alignment vertical="bottom"/>
    </xf>
    <xf numFmtId="0" fontId="30" fillId="2" borderId="5" applyNumberFormat="0" applyFont="1" applyFill="1" applyBorder="1" applyAlignment="1" applyProtection="0">
      <alignment vertical="bottom"/>
    </xf>
    <xf numFmtId="0" fontId="31" fillId="2" borderId="5" applyNumberFormat="0" applyFont="1" applyFill="1" applyBorder="1" applyAlignment="1" applyProtection="0">
      <alignment horizontal="center" vertical="bottom"/>
    </xf>
    <xf numFmtId="0" fontId="31" fillId="2" borderId="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69" applyNumberFormat="0" applyFont="1" applyFill="1" applyBorder="1" applyAlignment="1" applyProtection="0">
      <alignment horizontal="center" vertical="bottom"/>
    </xf>
    <xf numFmtId="0" fontId="3" fillId="2" borderId="70" applyNumberFormat="0" applyFont="1" applyFill="1" applyBorder="1" applyAlignment="1" applyProtection="0">
      <alignment vertical="bottom"/>
    </xf>
    <xf numFmtId="0" fontId="27" fillId="2" borderId="16" applyNumberFormat="0" applyFont="1" applyFill="1" applyBorder="1" applyAlignment="1" applyProtection="0">
      <alignment vertical="bottom"/>
    </xf>
    <xf numFmtId="49" fontId="29" fillId="2" borderId="71" applyNumberFormat="1" applyFont="1" applyFill="1" applyBorder="1" applyAlignment="1" applyProtection="0">
      <alignment horizontal="center" vertical="bottom"/>
    </xf>
    <xf numFmtId="0" fontId="6" fillId="2" borderId="6" applyNumberFormat="1" applyFont="1" applyFill="1" applyBorder="1" applyAlignment="1" applyProtection="0">
      <alignment vertical="bottom"/>
    </xf>
    <xf numFmtId="0" fontId="6" fillId="2" borderId="3" applyNumberFormat="0" applyFont="1" applyFill="1" applyBorder="1" applyAlignment="1" applyProtection="0">
      <alignment vertical="bottom"/>
    </xf>
    <xf numFmtId="0" fontId="30" fillId="2" borderId="1" applyNumberFormat="0" applyFont="1" applyFill="1" applyBorder="1" applyAlignment="1" applyProtection="0">
      <alignment vertical="bottom"/>
    </xf>
    <xf numFmtId="0" fontId="30" fillId="2" borderId="3" applyNumberFormat="0" applyFont="1" applyFill="1" applyBorder="1" applyAlignment="1" applyProtection="0">
      <alignment vertical="bottom"/>
    </xf>
    <xf numFmtId="0" fontId="30" fillId="2" borderId="7" applyNumberFormat="0" applyFont="1" applyFill="1" applyBorder="1" applyAlignment="1" applyProtection="0">
      <alignment vertical="bottom"/>
    </xf>
    <xf numFmtId="0" fontId="30" fillId="2" borderId="9" applyNumberFormat="0" applyFont="1" applyFill="1" applyBorder="1" applyAlignment="1" applyProtection="0">
      <alignment vertical="bottom"/>
    </xf>
    <xf numFmtId="0" fontId="30" fillId="2" borderId="14" applyNumberFormat="0" applyFont="1" applyFill="1" applyBorder="1" applyAlignment="1" applyProtection="0">
      <alignment vertical="bottom"/>
    </xf>
    <xf numFmtId="0" fontId="30" fillId="2" borderId="15" applyNumberFormat="0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0" fontId="27" fillId="2" borderId="31" applyNumberFormat="0" applyFont="1" applyFill="1" applyBorder="1" applyAlignment="1" applyProtection="0">
      <alignment vertical="bottom"/>
    </xf>
    <xf numFmtId="0" fontId="30" fillId="2" borderId="30" applyNumberFormat="0" applyFont="1" applyFill="1" applyBorder="1" applyAlignment="1" applyProtection="0">
      <alignment vertical="bottom"/>
    </xf>
    <xf numFmtId="0" fontId="27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31" fillId="2" borderId="2" applyNumberFormat="0" applyFont="1" applyFill="1" applyBorder="1" applyAlignment="1" applyProtection="0">
      <alignment horizontal="center" vertical="bottom"/>
    </xf>
    <xf numFmtId="0" fontId="27" fillId="2" borderId="30" applyNumberFormat="0" applyFont="1" applyFill="1" applyBorder="1" applyAlignment="1" applyProtection="0">
      <alignment vertical="bottom"/>
    </xf>
    <xf numFmtId="0" fontId="15" fillId="2" borderId="3" applyNumberFormat="0" applyFont="1" applyFill="1" applyBorder="1" applyAlignment="1" applyProtection="0">
      <alignment vertical="bottom"/>
    </xf>
    <xf numFmtId="0" fontId="31" fillId="2" borderId="8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6" fillId="2" borderId="39" applyNumberFormat="1" applyFont="1" applyFill="1" applyBorder="1" applyAlignment="1" applyProtection="0">
      <alignment vertical="bottom"/>
    </xf>
    <xf numFmtId="0" fontId="10" fillId="2" borderId="1" applyNumberFormat="0" applyFont="1" applyFill="1" applyBorder="1" applyAlignment="1" applyProtection="0">
      <alignment vertical="bottom"/>
    </xf>
    <xf numFmtId="49" fontId="6" fillId="2" borderId="2" applyNumberFormat="1" applyFont="1" applyFill="1" applyBorder="1" applyAlignment="1" applyProtection="0">
      <alignment vertical="bottom"/>
    </xf>
    <xf numFmtId="0" fontId="10" fillId="2" borderId="3" applyNumberFormat="1" applyFont="1" applyFill="1" applyBorder="1" applyAlignment="1" applyProtection="0">
      <alignment vertical="bottom"/>
    </xf>
    <xf numFmtId="49" fontId="8" fillId="2" borderId="10" applyNumberFormat="1" applyFont="1" applyFill="1" applyBorder="1" applyAlignment="1" applyProtection="0">
      <alignment horizontal="center" vertical="center" wrapText="1"/>
    </xf>
    <xf numFmtId="0" fontId="8" fillId="2" borderId="12" applyNumberFormat="0" applyFont="1" applyFill="1" applyBorder="1" applyAlignment="1" applyProtection="0">
      <alignment horizontal="center" vertical="center" wrapText="1"/>
    </xf>
    <xf numFmtId="0" fontId="8" fillId="2" borderId="16" applyNumberFormat="0" applyFont="1" applyFill="1" applyBorder="1" applyAlignment="1" applyProtection="0">
      <alignment horizontal="center" vertical="center" wrapText="1"/>
    </xf>
    <xf numFmtId="59" fontId="6" fillId="2" borderId="6" applyNumberFormat="1" applyFont="1" applyFill="1" applyBorder="1" applyAlignment="1" applyProtection="0">
      <alignment vertical="bottom"/>
    </xf>
    <xf numFmtId="0" fontId="11" fillId="2" borderId="1" applyNumberFormat="0" applyFont="1" applyFill="1" applyBorder="1" applyAlignment="1" applyProtection="0">
      <alignment horizontal="center" vertical="bottom"/>
    </xf>
    <xf numFmtId="0" fontId="8" fillId="2" borderId="1" applyNumberFormat="0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vertical="bottom"/>
    </xf>
    <xf numFmtId="0" fontId="6" fillId="2" borderId="9" applyNumberFormat="0" applyFont="1" applyFill="1" applyBorder="1" applyAlignment="1" applyProtection="0">
      <alignment vertical="bottom"/>
    </xf>
    <xf numFmtId="0" fontId="6" fillId="2" borderId="15" applyNumberFormat="0" applyFont="1" applyFill="1" applyBorder="1" applyAlignment="1" applyProtection="0">
      <alignment vertical="bottom"/>
    </xf>
    <xf numFmtId="0" fontId="6" fillId="2" borderId="31" applyNumberFormat="0" applyFont="1" applyFill="1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72" applyNumberFormat="0" applyFont="1" applyFill="1" applyBorder="1" applyAlignment="1" applyProtection="0">
      <alignment vertical="bottom"/>
    </xf>
    <xf numFmtId="17" fontId="6" fillId="2" borderId="53" applyNumberFormat="1" applyFont="1" applyFill="1" applyBorder="1" applyAlignment="1" applyProtection="0">
      <alignment horizontal="center" vertical="bottom"/>
    </xf>
    <xf numFmtId="0" fontId="6" fillId="2" borderId="54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2" borderId="73" applyNumberFormat="0" applyFont="1" applyFill="1" applyBorder="1" applyAlignment="1" applyProtection="0">
      <alignment vertical="bottom"/>
    </xf>
    <xf numFmtId="0" fontId="21" fillId="2" borderId="69" applyNumberFormat="0" applyFont="1" applyFill="1" applyBorder="1" applyAlignment="1" applyProtection="0">
      <alignment horizontal="center" vertical="bottom"/>
    </xf>
    <xf numFmtId="0" fontId="21" fillId="2" borderId="50" applyNumberFormat="0" applyFont="1" applyFill="1" applyBorder="1" applyAlignment="1" applyProtection="0">
      <alignment horizontal="center" vertical="bottom"/>
    </xf>
    <xf numFmtId="0" fontId="21" fillId="2" borderId="50" applyNumberFormat="0" applyFont="1" applyFill="1" applyBorder="1" applyAlignment="1" applyProtection="0">
      <alignment vertical="bottom"/>
    </xf>
    <xf numFmtId="0" fontId="21" fillId="2" borderId="70" applyNumberFormat="0" applyFont="1" applyFill="1" applyBorder="1" applyAlignment="1" applyProtection="0">
      <alignment vertical="bottom"/>
    </xf>
    <xf numFmtId="0" fontId="7" fillId="2" borderId="40" applyNumberFormat="0" applyFont="1" applyFill="1" applyBorder="1" applyAlignment="1" applyProtection="0">
      <alignment vertical="bottom"/>
    </xf>
    <xf numFmtId="0" fontId="7" fillId="2" borderId="40" applyNumberFormat="1" applyFont="1" applyFill="1" applyBorder="1" applyAlignment="1" applyProtection="0">
      <alignment vertical="bottom"/>
    </xf>
    <xf numFmtId="0" fontId="6" fillId="2" borderId="23" applyNumberFormat="0" applyFont="1" applyFill="1" applyBorder="1" applyAlignment="1" applyProtection="0">
      <alignment vertical="bottom"/>
    </xf>
    <xf numFmtId="0" fontId="10" fillId="2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4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horizontal="center" vertical="bottom"/>
    </xf>
    <xf numFmtId="0" fontId="0" fillId="2" borderId="6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70c0"/>
      <rgbColor rgb="ffffffff"/>
      <rgbColor rgb="ffaaaaaa"/>
      <rgbColor rgb="ff002060"/>
      <rgbColor rgb="ffff0000"/>
      <rgbColor rgb="ffc00000"/>
      <rgbColor rgb="ff00b050"/>
      <rgbColor rgb="ffffff00"/>
      <rgbColor rgb="ff050505"/>
      <rgbColor rgb="ff1f497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F98"/>
  <sheetViews>
    <sheetView workbookViewId="0" showGridLines="0" defaultGridColor="1"/>
  </sheetViews>
  <sheetFormatPr defaultColWidth="9.16667" defaultRowHeight="15" customHeight="1" outlineLevelRow="0" outlineLevelCol="0"/>
  <cols>
    <col min="1" max="1" width="6.67188" style="1" customWidth="1"/>
    <col min="2" max="2" width="23.6719" style="1" customWidth="1"/>
    <col min="3" max="3" width="12.6719" style="1" customWidth="1"/>
    <col min="4" max="4" width="5" style="1" customWidth="1"/>
    <col min="5" max="5" width="9.35156" style="1" customWidth="1"/>
    <col min="6" max="6" width="5.35156" style="1" customWidth="1"/>
    <col min="7" max="7" width="9.17188" style="1" customWidth="1"/>
    <col min="8" max="8" width="5.5" style="1" customWidth="1"/>
    <col min="9" max="9" width="9.17188" style="1" customWidth="1"/>
    <col min="10" max="10" width="5.5" style="1" customWidth="1"/>
    <col min="11" max="11" width="8.35156" style="1" customWidth="1"/>
    <col min="12" max="12" width="5.85156" style="1" customWidth="1"/>
    <col min="13" max="13" width="8.67188" style="1" customWidth="1"/>
    <col min="14" max="14" width="5.67188" style="1" customWidth="1"/>
    <col min="15" max="15" width="8.35156" style="1" customWidth="1"/>
    <col min="16" max="16" width="6" style="1" customWidth="1"/>
    <col min="17" max="17" width="8.5" style="1" customWidth="1"/>
    <col min="18" max="18" width="6" style="1" customWidth="1"/>
    <col min="19" max="19" width="7.5" style="1" customWidth="1"/>
    <col min="20" max="20" width="5.85156" style="1" customWidth="1"/>
    <col min="21" max="21" width="7.5" style="1" customWidth="1"/>
    <col min="22" max="22" width="5.5" style="1" customWidth="1"/>
    <col min="23" max="23" width="8.85156" style="1" customWidth="1"/>
    <col min="24" max="24" width="5.67188" style="1" customWidth="1"/>
    <col min="25" max="26" width="6.85156" style="1" customWidth="1"/>
    <col min="27" max="27" width="8.35156" style="1" customWidth="1"/>
    <col min="28" max="28" width="5.5" style="1" customWidth="1"/>
    <col min="29" max="29" width="8.5" style="1" customWidth="1"/>
    <col min="30" max="30" width="12.6719" style="1" customWidth="1"/>
    <col min="31" max="31" width="14.1719" style="1" customWidth="1"/>
    <col min="32" max="32" width="9.17188" style="1" customWidth="1"/>
    <col min="33" max="16384" width="9.17188" style="1" customWidth="1"/>
  </cols>
  <sheetData>
    <row r="1" ht="23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6"/>
      <c r="AF1" s="7"/>
    </row>
    <row r="2" ht="13.55" customHeight="1">
      <c r="A2" t="s" s="8">
        <v>1</v>
      </c>
      <c r="B2" t="s" s="8">
        <v>2</v>
      </c>
      <c r="C2" s="9"/>
      <c r="D2" s="9"/>
      <c r="E2" s="9"/>
      <c r="F2" s="10">
        <v>46113</v>
      </c>
      <c r="G2" s="11"/>
      <c r="H2" s="10">
        <v>46143</v>
      </c>
      <c r="I2" s="11"/>
      <c r="J2" s="10">
        <v>46174</v>
      </c>
      <c r="K2" s="11"/>
      <c r="L2" s="10">
        <v>46204</v>
      </c>
      <c r="M2" s="11"/>
      <c r="N2" s="10">
        <v>46235</v>
      </c>
      <c r="O2" s="11"/>
      <c r="P2" s="10">
        <v>46266</v>
      </c>
      <c r="Q2" s="11"/>
      <c r="R2" s="10">
        <v>46296</v>
      </c>
      <c r="S2" s="11"/>
      <c r="T2" s="10">
        <v>46327</v>
      </c>
      <c r="U2" s="11"/>
      <c r="V2" s="10">
        <v>46357</v>
      </c>
      <c r="W2" s="11"/>
      <c r="X2" s="10">
        <v>46388</v>
      </c>
      <c r="Y2" s="11"/>
      <c r="Z2" s="10">
        <v>46419</v>
      </c>
      <c r="AA2" s="11"/>
      <c r="AB2" s="10">
        <v>46447</v>
      </c>
      <c r="AC2" s="11"/>
      <c r="AD2" t="s" s="12">
        <v>3</v>
      </c>
      <c r="AE2" s="13"/>
      <c r="AF2" s="7"/>
    </row>
    <row r="3" ht="13.75" customHeight="1">
      <c r="A3" s="14">
        <v>1</v>
      </c>
      <c r="B3" t="s" s="15">
        <v>4</v>
      </c>
      <c r="C3" s="9"/>
      <c r="D3" s="9"/>
      <c r="E3" t="s" s="8">
        <v>5</v>
      </c>
      <c r="F3" t="s" s="8">
        <v>6</v>
      </c>
      <c r="G3" s="16">
        <v>1053</v>
      </c>
      <c r="H3" t="s" s="17">
        <v>6</v>
      </c>
      <c r="I3" s="16">
        <v>3234</v>
      </c>
      <c r="J3" t="s" s="8">
        <v>6</v>
      </c>
      <c r="K3" s="18"/>
      <c r="L3" t="s" s="8">
        <v>6</v>
      </c>
      <c r="M3" s="18"/>
      <c r="N3" t="s" s="8">
        <v>6</v>
      </c>
      <c r="O3" s="19"/>
      <c r="P3" t="s" s="8">
        <v>6</v>
      </c>
      <c r="Q3" s="19"/>
      <c r="R3" s="20"/>
      <c r="S3" s="21"/>
      <c r="T3" s="21"/>
      <c r="U3" s="21"/>
      <c r="V3" s="21"/>
      <c r="W3" s="21"/>
      <c r="X3" s="21"/>
      <c r="Y3" s="21"/>
      <c r="Z3" s="21"/>
      <c r="AA3" s="21"/>
      <c r="AB3" s="21"/>
      <c r="AC3" s="22"/>
      <c r="AD3" s="23"/>
      <c r="AE3" s="13"/>
      <c r="AF3" s="7"/>
    </row>
    <row r="4" ht="13.55" customHeight="1">
      <c r="A4" s="24"/>
      <c r="B4" s="23"/>
      <c r="C4" t="s" s="8">
        <v>7</v>
      </c>
      <c r="D4" s="25">
        <v>1000</v>
      </c>
      <c r="E4" s="9"/>
      <c r="F4" t="s" s="8">
        <v>8</v>
      </c>
      <c r="G4" s="26">
        <v>800</v>
      </c>
      <c r="H4" t="s" s="8">
        <v>8</v>
      </c>
      <c r="I4" s="26">
        <v>800</v>
      </c>
      <c r="J4" t="s" s="8">
        <v>8</v>
      </c>
      <c r="K4" s="27"/>
      <c r="L4" t="s" s="8">
        <v>8</v>
      </c>
      <c r="M4" s="27"/>
      <c r="N4" t="s" s="8">
        <v>8</v>
      </c>
      <c r="O4" s="19"/>
      <c r="P4" t="s" s="8">
        <v>8</v>
      </c>
      <c r="Q4" s="19"/>
      <c r="R4" s="28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1" cm="1">
        <f t="array" ref="AD4">G4+I4+K4+M4+O4+Q4+S4+U4+W4+Y4+AA4+AC4</f>
        <v>1600</v>
      </c>
      <c r="AE4" s="13"/>
      <c r="AF4" s="7"/>
    </row>
    <row r="5" ht="13.55" customHeight="1">
      <c r="A5" s="32"/>
      <c r="B5" s="9"/>
      <c r="C5" t="s" s="8">
        <v>9</v>
      </c>
      <c r="D5" s="25">
        <v>1000</v>
      </c>
      <c r="E5" s="9"/>
      <c r="F5" t="s" s="8">
        <v>10</v>
      </c>
      <c r="G5" t="s" s="33">
        <v>11</v>
      </c>
      <c r="H5" t="s" s="33">
        <v>10</v>
      </c>
      <c r="I5" t="s" s="33">
        <v>12</v>
      </c>
      <c r="J5" t="s" s="8">
        <v>10</v>
      </c>
      <c r="K5" s="34"/>
      <c r="L5" t="s" s="8">
        <v>10</v>
      </c>
      <c r="M5" s="34"/>
      <c r="N5" t="s" s="8">
        <v>10</v>
      </c>
      <c r="O5" s="19"/>
      <c r="P5" t="s" s="8">
        <v>10</v>
      </c>
      <c r="Q5" s="19"/>
      <c r="R5" s="35"/>
      <c r="S5" s="36"/>
      <c r="T5" s="36"/>
      <c r="U5" s="36"/>
      <c r="V5" s="36"/>
      <c r="W5" s="36"/>
      <c r="X5" s="36"/>
      <c r="Y5" s="36"/>
      <c r="Z5" s="36"/>
      <c r="AA5" s="36"/>
      <c r="AB5" s="36"/>
      <c r="AC5" s="37"/>
      <c r="AD5" s="23"/>
      <c r="AE5" s="13"/>
      <c r="AF5" s="7"/>
    </row>
    <row r="6" ht="13.75" customHeight="1">
      <c r="A6" s="32"/>
      <c r="B6" t="s" s="8">
        <v>13</v>
      </c>
      <c r="C6" s="38"/>
      <c r="D6" s="39"/>
      <c r="E6" t="s" s="8">
        <v>14</v>
      </c>
      <c r="F6" t="s" s="8">
        <v>6</v>
      </c>
      <c r="G6" s="16">
        <v>2003</v>
      </c>
      <c r="H6" t="s" s="8">
        <v>6</v>
      </c>
      <c r="I6" s="16">
        <v>2200</v>
      </c>
      <c r="J6" t="s" s="8">
        <v>6</v>
      </c>
      <c r="K6" s="40"/>
      <c r="L6" t="s" s="8">
        <v>6</v>
      </c>
      <c r="M6" s="18"/>
      <c r="N6" t="s" s="8">
        <v>6</v>
      </c>
      <c r="O6" s="24"/>
      <c r="P6" t="s" s="8">
        <v>6</v>
      </c>
      <c r="Q6" s="9"/>
      <c r="R6" t="s" s="8">
        <v>6</v>
      </c>
      <c r="S6" s="9"/>
      <c r="T6" t="s" s="8">
        <v>6</v>
      </c>
      <c r="U6" s="9"/>
      <c r="V6" t="s" s="8">
        <v>6</v>
      </c>
      <c r="W6" s="9"/>
      <c r="X6" t="s" s="8">
        <v>6</v>
      </c>
      <c r="Y6" s="9"/>
      <c r="Z6" t="s" s="8">
        <v>6</v>
      </c>
      <c r="AA6" s="9"/>
      <c r="AB6" t="s" s="8">
        <v>6</v>
      </c>
      <c r="AC6" s="9"/>
      <c r="AD6" s="23"/>
      <c r="AE6" s="13"/>
      <c r="AF6" s="7"/>
    </row>
    <row r="7" ht="13.55" customHeight="1">
      <c r="A7" s="32"/>
      <c r="B7" t="s" s="8">
        <v>15</v>
      </c>
      <c r="C7" s="9"/>
      <c r="D7" s="9"/>
      <c r="E7" s="9"/>
      <c r="F7" t="s" s="8">
        <v>8</v>
      </c>
      <c r="G7" s="26">
        <v>800</v>
      </c>
      <c r="H7" t="s" s="8">
        <v>8</v>
      </c>
      <c r="I7" s="26">
        <v>800</v>
      </c>
      <c r="J7" t="s" s="8">
        <v>8</v>
      </c>
      <c r="K7" s="41"/>
      <c r="L7" t="s" s="8">
        <v>8</v>
      </c>
      <c r="M7" s="27"/>
      <c r="N7" t="s" s="8">
        <v>8</v>
      </c>
      <c r="O7" s="32"/>
      <c r="P7" t="s" s="8">
        <v>8</v>
      </c>
      <c r="Q7" s="42"/>
      <c r="R7" t="s" s="8">
        <v>8</v>
      </c>
      <c r="S7" s="42"/>
      <c r="T7" t="s" s="8">
        <v>8</v>
      </c>
      <c r="U7" s="42"/>
      <c r="V7" t="s" s="8">
        <v>8</v>
      </c>
      <c r="W7" s="42"/>
      <c r="X7" t="s" s="8">
        <v>8</v>
      </c>
      <c r="Y7" s="42"/>
      <c r="Z7" t="s" s="8">
        <v>8</v>
      </c>
      <c r="AA7" s="42"/>
      <c r="AB7" t="s" s="8">
        <v>8</v>
      </c>
      <c r="AC7" s="42"/>
      <c r="AD7" s="43"/>
      <c r="AE7" s="13"/>
      <c r="AF7" s="7"/>
    </row>
    <row r="8" ht="13.55" customHeight="1">
      <c r="A8" s="44"/>
      <c r="B8" s="9"/>
      <c r="C8" s="9"/>
      <c r="D8" s="9"/>
      <c r="E8" s="9"/>
      <c r="F8" t="s" s="8">
        <v>10</v>
      </c>
      <c r="G8" t="s" s="33">
        <v>11</v>
      </c>
      <c r="H8" t="s" s="8">
        <v>10</v>
      </c>
      <c r="I8" t="s" s="33">
        <v>12</v>
      </c>
      <c r="J8" t="s" s="8">
        <v>10</v>
      </c>
      <c r="K8" s="45"/>
      <c r="L8" t="s" s="8">
        <v>10</v>
      </c>
      <c r="M8" s="34"/>
      <c r="N8" t="s" s="8">
        <v>10</v>
      </c>
      <c r="O8" s="44"/>
      <c r="P8" t="s" s="8">
        <v>10</v>
      </c>
      <c r="Q8" s="46"/>
      <c r="R8" t="s" s="8">
        <v>10</v>
      </c>
      <c r="S8" s="46"/>
      <c r="T8" t="s" s="8">
        <v>10</v>
      </c>
      <c r="U8" s="46"/>
      <c r="V8" t="s" s="8">
        <v>10</v>
      </c>
      <c r="W8" s="46"/>
      <c r="X8" t="s" s="8">
        <v>10</v>
      </c>
      <c r="Y8" s="46"/>
      <c r="Z8" t="s" s="8">
        <v>10</v>
      </c>
      <c r="AA8" s="46"/>
      <c r="AB8" t="s" s="8">
        <v>10</v>
      </c>
      <c r="AC8" s="46"/>
      <c r="AD8" s="23"/>
      <c r="AE8" s="13"/>
      <c r="AF8" s="7"/>
    </row>
    <row r="9" ht="13.55" customHeight="1">
      <c r="A9" s="9"/>
      <c r="B9" s="9"/>
      <c r="C9" s="9"/>
      <c r="D9" s="9"/>
      <c r="E9" s="9"/>
      <c r="F9" s="9"/>
      <c r="G9" s="27"/>
      <c r="H9" s="9"/>
      <c r="I9" s="9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23"/>
      <c r="AE9" s="13"/>
      <c r="AF9" s="7"/>
    </row>
    <row r="10" ht="13.75" customHeight="1">
      <c r="A10" s="47">
        <v>2</v>
      </c>
      <c r="B10" t="s" s="15">
        <v>16</v>
      </c>
      <c r="C10" s="9"/>
      <c r="D10" s="9"/>
      <c r="E10" t="s" s="8">
        <v>5</v>
      </c>
      <c r="F10" t="s" s="8">
        <v>6</v>
      </c>
      <c r="G10" s="16">
        <v>1085</v>
      </c>
      <c r="H10" t="s" s="8">
        <v>6</v>
      </c>
      <c r="I10" s="18"/>
      <c r="J10" t="s" s="8">
        <v>6</v>
      </c>
      <c r="K10" s="23"/>
      <c r="L10" t="s" s="8">
        <v>6</v>
      </c>
      <c r="M10" s="23"/>
      <c r="N10" t="s" s="8">
        <v>6</v>
      </c>
      <c r="O10" s="23"/>
      <c r="P10" t="s" s="8">
        <v>6</v>
      </c>
      <c r="Q10" s="23"/>
      <c r="R10" t="s" s="8">
        <v>6</v>
      </c>
      <c r="S10" s="23"/>
      <c r="T10" t="s" s="8">
        <v>6</v>
      </c>
      <c r="U10" s="23"/>
      <c r="V10" t="s" s="8">
        <v>6</v>
      </c>
      <c r="W10" s="23"/>
      <c r="X10" t="s" s="8">
        <v>6</v>
      </c>
      <c r="Y10" s="23"/>
      <c r="Z10" t="s" s="8">
        <v>6</v>
      </c>
      <c r="AA10" s="23"/>
      <c r="AB10" t="s" s="8">
        <v>6</v>
      </c>
      <c r="AC10" s="23"/>
      <c r="AD10" s="23"/>
      <c r="AE10" s="13"/>
      <c r="AF10" s="7"/>
    </row>
    <row r="11" ht="13.55" customHeight="1">
      <c r="A11" s="48"/>
      <c r="B11" s="49"/>
      <c r="C11" t="s" s="8">
        <v>7</v>
      </c>
      <c r="D11" s="25">
        <v>1000</v>
      </c>
      <c r="E11" s="9"/>
      <c r="F11" t="s" s="8">
        <v>8</v>
      </c>
      <c r="G11" s="26">
        <v>800</v>
      </c>
      <c r="H11" t="s" s="8">
        <v>8</v>
      </c>
      <c r="I11" s="27"/>
      <c r="J11" t="s" s="8">
        <v>8</v>
      </c>
      <c r="K11" s="27"/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8">
        <v>8</v>
      </c>
      <c r="AA11" s="27"/>
      <c r="AB11" t="s" s="8">
        <v>8</v>
      </c>
      <c r="AC11" s="27"/>
      <c r="AD11" s="31" cm="1">
        <f t="array" ref="AD11">G11+I11+K11+M11+O11+Q11+S11+U11+W11+Y11+AA11+AC11</f>
        <v>800</v>
      </c>
      <c r="AE11" s="50" cm="1">
        <f t="array" ref="AE11">400*12</f>
        <v>4800</v>
      </c>
      <c r="AF11" s="51" cm="1">
        <f t="array" ref="AF11">AD11-AE11</f>
        <v>-4000</v>
      </c>
    </row>
    <row r="12" ht="13.55" customHeight="1">
      <c r="A12" s="48"/>
      <c r="B12" s="23"/>
      <c r="C12" t="s" s="8">
        <v>9</v>
      </c>
      <c r="D12" s="25">
        <v>1000</v>
      </c>
      <c r="E12" s="9"/>
      <c r="F12" t="s" s="8">
        <v>10</v>
      </c>
      <c r="G12" t="s" s="33">
        <v>17</v>
      </c>
      <c r="H12" t="s" s="8">
        <v>10</v>
      </c>
      <c r="I12" s="34"/>
      <c r="J12" t="s" s="8">
        <v>10</v>
      </c>
      <c r="K12" s="34"/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8">
        <v>10</v>
      </c>
      <c r="AA12" s="34"/>
      <c r="AB12" t="s" s="8">
        <v>10</v>
      </c>
      <c r="AC12" s="34"/>
      <c r="AD12" s="23"/>
      <c r="AE12" s="13"/>
      <c r="AF12" s="7"/>
    </row>
    <row r="13" ht="13.75" customHeight="1">
      <c r="A13" s="48"/>
      <c r="B13" t="s" s="8">
        <v>18</v>
      </c>
      <c r="C13" s="9"/>
      <c r="D13" s="9"/>
      <c r="E13" t="s" s="8">
        <v>14</v>
      </c>
      <c r="F13" t="s" s="8">
        <v>6</v>
      </c>
      <c r="G13" s="16">
        <v>2023</v>
      </c>
      <c r="H13" t="s" s="8">
        <v>6</v>
      </c>
      <c r="I13" s="18"/>
      <c r="J13" t="s" s="8">
        <v>6</v>
      </c>
      <c r="K13" s="27"/>
      <c r="L13" t="s" s="8">
        <v>6</v>
      </c>
      <c r="M13" s="23"/>
      <c r="N13" t="s" s="8">
        <v>6</v>
      </c>
      <c r="O13" s="23"/>
      <c r="P13" t="s" s="8">
        <v>6</v>
      </c>
      <c r="Q13" s="23"/>
      <c r="R13" t="s" s="8">
        <v>6</v>
      </c>
      <c r="S13" s="23"/>
      <c r="T13" t="s" s="8">
        <v>6</v>
      </c>
      <c r="U13" s="23"/>
      <c r="V13" t="s" s="8">
        <v>6</v>
      </c>
      <c r="W13" s="23"/>
      <c r="X13" t="s" s="8">
        <v>6</v>
      </c>
      <c r="Y13" s="23"/>
      <c r="Z13" t="s" s="8">
        <v>6</v>
      </c>
      <c r="AA13" s="23"/>
      <c r="AB13" t="s" s="8">
        <v>6</v>
      </c>
      <c r="AC13" s="23"/>
      <c r="AD13" s="23"/>
      <c r="AE13" s="13"/>
      <c r="AF13" s="7"/>
    </row>
    <row r="14" ht="13.55" customHeight="1">
      <c r="A14" s="48"/>
      <c r="B14" t="s" s="8">
        <v>19</v>
      </c>
      <c r="C14" s="9"/>
      <c r="D14" s="9"/>
      <c r="E14" s="9"/>
      <c r="F14" t="s" s="8">
        <v>8</v>
      </c>
      <c r="G14" s="26">
        <v>600</v>
      </c>
      <c r="H14" t="s" s="8">
        <v>8</v>
      </c>
      <c r="I14" s="27"/>
      <c r="J14" t="s" s="8">
        <v>8</v>
      </c>
      <c r="K14" s="27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8">
        <v>8</v>
      </c>
      <c r="Y14" s="27"/>
      <c r="Z14" t="s" s="8">
        <v>8</v>
      </c>
      <c r="AA14" s="27"/>
      <c r="AB14" t="s" s="8">
        <v>8</v>
      </c>
      <c r="AC14" s="27"/>
      <c r="AD14" s="31" cm="1">
        <f t="array" ref="AD14">G14+I14+K14+M14+O14+Q14+S14+U14+W14+Y14+AA14+AC14</f>
        <v>600</v>
      </c>
      <c r="AE14" s="50" cm="1">
        <f t="array" ref="AE14">500*11</f>
        <v>5500</v>
      </c>
      <c r="AF14" s="51" cm="1">
        <f t="array" ref="AF14">AE14-AD14</f>
        <v>4900</v>
      </c>
    </row>
    <row r="15" ht="13.55" customHeight="1">
      <c r="A15" s="52"/>
      <c r="B15" s="9"/>
      <c r="C15" s="9"/>
      <c r="D15" s="9"/>
      <c r="E15" s="9"/>
      <c r="F15" t="s" s="8">
        <v>10</v>
      </c>
      <c r="G15" t="s" s="33">
        <v>20</v>
      </c>
      <c r="H15" t="s" s="8">
        <v>10</v>
      </c>
      <c r="I15" s="34"/>
      <c r="J15" t="s" s="8">
        <v>10</v>
      </c>
      <c r="K15" s="27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8">
        <v>10</v>
      </c>
      <c r="Y15" s="34"/>
      <c r="Z15" t="s" s="8">
        <v>10</v>
      </c>
      <c r="AA15" s="34"/>
      <c r="AB15" t="s" s="8">
        <v>10</v>
      </c>
      <c r="AC15" s="34"/>
      <c r="AD15" s="23"/>
      <c r="AE15" s="13"/>
      <c r="AF15" s="7"/>
    </row>
    <row r="16" ht="13.55" customHeight="1">
      <c r="A16" s="9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23"/>
      <c r="AE16" s="13"/>
      <c r="AF16" s="7"/>
    </row>
    <row r="17" ht="13.75" customHeight="1">
      <c r="A17" s="47">
        <v>3</v>
      </c>
      <c r="B17" t="s" s="15">
        <v>21</v>
      </c>
      <c r="C17" s="9"/>
      <c r="D17" s="9"/>
      <c r="E17" t="s" s="8">
        <v>5</v>
      </c>
      <c r="F17" t="s" s="8">
        <v>6</v>
      </c>
      <c r="G17" s="16">
        <v>1108</v>
      </c>
      <c r="H17" t="s" s="8">
        <v>6</v>
      </c>
      <c r="I17" s="16">
        <v>1108</v>
      </c>
      <c r="J17" t="s" s="8">
        <v>6</v>
      </c>
      <c r="K17" s="16">
        <v>3206</v>
      </c>
      <c r="L17" t="s" s="8">
        <v>6</v>
      </c>
      <c r="M17" s="18"/>
      <c r="N17" t="s" s="8">
        <v>6</v>
      </c>
      <c r="O17" s="18"/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8">
        <v>6</v>
      </c>
      <c r="Y17" s="18"/>
      <c r="Z17" t="s" s="8">
        <v>6</v>
      </c>
      <c r="AA17" s="18"/>
      <c r="AB17" t="s" s="8">
        <v>6</v>
      </c>
      <c r="AC17" s="18"/>
      <c r="AD17" s="23"/>
      <c r="AE17" s="13"/>
      <c r="AF17" s="7"/>
    </row>
    <row r="18" ht="13.55" customHeight="1">
      <c r="A18" s="48"/>
      <c r="B18" s="23"/>
      <c r="C18" t="s" s="8">
        <v>7</v>
      </c>
      <c r="D18" s="25">
        <v>1000</v>
      </c>
      <c r="E18" s="9"/>
      <c r="F18" t="s" s="8">
        <v>8</v>
      </c>
      <c r="G18" s="26">
        <v>400</v>
      </c>
      <c r="H18" t="s" s="8">
        <v>8</v>
      </c>
      <c r="I18" s="26">
        <v>400</v>
      </c>
      <c r="J18" t="s" s="8">
        <v>8</v>
      </c>
      <c r="K18" s="26">
        <v>400</v>
      </c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7"/>
      <c r="Z18" t="s" s="8">
        <v>8</v>
      </c>
      <c r="AA18" s="27"/>
      <c r="AB18" t="s" s="8">
        <v>8</v>
      </c>
      <c r="AC18" s="27"/>
      <c r="AD18" s="43"/>
      <c r="AE18" s="50" cm="1">
        <f t="array" ref="AE18">400*12</f>
        <v>4800</v>
      </c>
      <c r="AF18" s="53" cm="1">
        <f t="array" ref="AF18">AE18-AD18</f>
        <v>4800</v>
      </c>
    </row>
    <row r="19" ht="13.55" customHeight="1">
      <c r="A19" s="48"/>
      <c r="B19" t="s" s="54">
        <v>22</v>
      </c>
      <c r="C19" t="s" s="8">
        <v>9</v>
      </c>
      <c r="D19" s="25">
        <v>1000</v>
      </c>
      <c r="E19" s="9"/>
      <c r="F19" t="s" s="8">
        <v>10</v>
      </c>
      <c r="G19" t="s" s="33">
        <v>23</v>
      </c>
      <c r="H19" t="s" s="8">
        <v>10</v>
      </c>
      <c r="I19" t="s" s="33">
        <v>23</v>
      </c>
      <c r="J19" t="s" s="8">
        <v>10</v>
      </c>
      <c r="K19" t="s" s="33">
        <v>24</v>
      </c>
      <c r="L19" t="s" s="8">
        <v>10</v>
      </c>
      <c r="M19" s="34"/>
      <c r="N19" t="s" s="8">
        <v>10</v>
      </c>
      <c r="O19" s="34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s="34"/>
      <c r="Z19" t="s" s="8">
        <v>10</v>
      </c>
      <c r="AA19" s="34"/>
      <c r="AB19" t="s" s="8">
        <v>10</v>
      </c>
      <c r="AC19" s="34"/>
      <c r="AD19" s="23"/>
      <c r="AE19" s="13"/>
      <c r="AF19" s="7"/>
    </row>
    <row r="20" ht="13.75" customHeight="1">
      <c r="A20" s="48"/>
      <c r="B20" t="s" s="8">
        <v>25</v>
      </c>
      <c r="C20" s="9"/>
      <c r="D20" s="9"/>
      <c r="E20" t="s" s="8">
        <v>14</v>
      </c>
      <c r="F20" t="s" s="8">
        <v>6</v>
      </c>
      <c r="G20" s="16">
        <v>2035</v>
      </c>
      <c r="H20" t="s" s="8">
        <v>6</v>
      </c>
      <c r="I20" s="16">
        <v>2180</v>
      </c>
      <c r="J20" t="s" s="8">
        <v>6</v>
      </c>
      <c r="K20" s="40"/>
      <c r="L20" t="s" s="8">
        <v>6</v>
      </c>
      <c r="M20" s="18"/>
      <c r="N20" t="s" s="8">
        <v>6</v>
      </c>
      <c r="O20" s="18"/>
      <c r="P20" t="s" s="8">
        <v>6</v>
      </c>
      <c r="Q20" s="18"/>
      <c r="R20" t="s" s="8">
        <v>6</v>
      </c>
      <c r="S20" s="18"/>
      <c r="T20" t="s" s="8">
        <v>6</v>
      </c>
      <c r="U20" s="18"/>
      <c r="V20" t="s" s="8">
        <v>6</v>
      </c>
      <c r="W20" s="18"/>
      <c r="X20" t="s" s="8">
        <v>6</v>
      </c>
      <c r="Y20" s="18"/>
      <c r="Z20" t="s" s="8">
        <v>6</v>
      </c>
      <c r="AA20" s="18"/>
      <c r="AB20" t="s" s="8">
        <v>6</v>
      </c>
      <c r="AC20" s="18"/>
      <c r="AD20" s="23"/>
      <c r="AE20" s="13"/>
      <c r="AF20" s="7"/>
    </row>
    <row r="21" ht="13.55" customHeight="1">
      <c r="A21" s="48"/>
      <c r="B21" t="s" s="8">
        <v>26</v>
      </c>
      <c r="C21" s="9"/>
      <c r="D21" s="9"/>
      <c r="E21" s="9"/>
      <c r="F21" t="s" s="8">
        <v>8</v>
      </c>
      <c r="G21" s="26">
        <v>1200</v>
      </c>
      <c r="H21" t="s" s="8">
        <v>8</v>
      </c>
      <c r="I21" s="26">
        <v>1200</v>
      </c>
      <c r="J21" t="s" s="8">
        <v>8</v>
      </c>
      <c r="K21" s="41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8">
        <v>8</v>
      </c>
      <c r="Y21" s="27"/>
      <c r="Z21" t="s" s="8">
        <v>8</v>
      </c>
      <c r="AA21" s="27"/>
      <c r="AB21" t="s" s="8">
        <v>8</v>
      </c>
      <c r="AC21" s="27"/>
      <c r="AD21" s="23" cm="1">
        <f t="array" ref="AD21">G21+I21+K21+M21+O21+Q21+S21+U21+W21+Y21+AA21+AC21</f>
      </c>
      <c r="AE21" s="50" cm="1">
        <f t="array" ref="AE21">500*11</f>
        <v>5500</v>
      </c>
      <c r="AF21" s="7" cm="1">
        <f t="array" ref="AF21">AE21-AD21</f>
      </c>
    </row>
    <row r="22" ht="13.55" customHeight="1">
      <c r="A22" s="52"/>
      <c r="B22" s="9"/>
      <c r="C22" s="9"/>
      <c r="D22" s="9"/>
      <c r="E22" s="9"/>
      <c r="F22" t="s" s="8">
        <v>10</v>
      </c>
      <c r="G22" t="s" s="33">
        <v>23</v>
      </c>
      <c r="H22" t="s" s="8">
        <v>10</v>
      </c>
      <c r="I22" t="s" s="33">
        <v>24</v>
      </c>
      <c r="J22" t="s" s="8">
        <v>10</v>
      </c>
      <c r="K22" s="4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8">
        <v>10</v>
      </c>
      <c r="Y22" s="34"/>
      <c r="Z22" t="s" s="8">
        <v>10</v>
      </c>
      <c r="AA22" s="34"/>
      <c r="AB22" t="s" s="8">
        <v>10</v>
      </c>
      <c r="AC22" s="34"/>
      <c r="AD22" s="23"/>
      <c r="AE22" s="13"/>
      <c r="AF22" s="7"/>
    </row>
    <row r="23" ht="13.55" customHeight="1">
      <c r="A23" s="9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23"/>
      <c r="AE23" s="13"/>
      <c r="AF23" s="7"/>
    </row>
    <row r="24" ht="13.75" customHeight="1">
      <c r="A24" s="47">
        <v>4</v>
      </c>
      <c r="B24" t="s" s="15">
        <v>27</v>
      </c>
      <c r="C24" s="9"/>
      <c r="D24" s="9"/>
      <c r="E24" t="s" s="8">
        <v>5</v>
      </c>
      <c r="F24" t="s" s="8">
        <v>6</v>
      </c>
      <c r="G24" s="16">
        <v>1052</v>
      </c>
      <c r="H24" t="s" s="8">
        <v>6</v>
      </c>
      <c r="I24" s="16">
        <v>1052</v>
      </c>
      <c r="J24" t="s" s="8">
        <v>6</v>
      </c>
      <c r="K24" s="18"/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8">
        <v>6</v>
      </c>
      <c r="Y24" s="18"/>
      <c r="Z24" t="s" s="8">
        <v>6</v>
      </c>
      <c r="AA24" s="18"/>
      <c r="AB24" t="s" s="8">
        <v>6</v>
      </c>
      <c r="AC24" s="18"/>
      <c r="AD24" s="23"/>
      <c r="AE24" s="13"/>
      <c r="AF24" s="7"/>
    </row>
    <row r="25" ht="13.55" customHeight="1">
      <c r="A25" s="48"/>
      <c r="B25" s="23"/>
      <c r="C25" t="s" s="8">
        <v>7</v>
      </c>
      <c r="D25" s="25">
        <v>1000</v>
      </c>
      <c r="E25" s="9"/>
      <c r="F25" t="s" s="8">
        <v>8</v>
      </c>
      <c r="G25" s="26">
        <v>400</v>
      </c>
      <c r="H25" t="s" s="8">
        <v>8</v>
      </c>
      <c r="I25" s="26">
        <v>400</v>
      </c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7"/>
      <c r="Z25" t="s" s="8">
        <v>8</v>
      </c>
      <c r="AA25" s="27"/>
      <c r="AB25" t="s" s="8">
        <v>8</v>
      </c>
      <c r="AC25" s="27"/>
      <c r="AD25" s="31" cm="1">
        <f t="array" ref="AD25">G25+I25+K25+M25+O25+Q25+S25+U25+W25+Y25+AA25+AC25</f>
        <v>800</v>
      </c>
      <c r="AE25" s="50" cm="1">
        <f t="array" ref="AE25">400*12</f>
        <v>4800</v>
      </c>
      <c r="AF25" s="51" cm="1">
        <f t="array" ref="AF25">AE25-AD25</f>
        <v>4000</v>
      </c>
    </row>
    <row r="26" ht="13.55" customHeight="1">
      <c r="A26" s="48"/>
      <c r="B26" t="s" s="54">
        <v>22</v>
      </c>
      <c r="C26" t="s" s="8">
        <v>9</v>
      </c>
      <c r="D26" s="25">
        <v>1000</v>
      </c>
      <c r="E26" s="9"/>
      <c r="F26" t="s" s="8">
        <v>10</v>
      </c>
      <c r="G26" t="s" s="33">
        <v>11</v>
      </c>
      <c r="H26" t="s" s="8">
        <v>10</v>
      </c>
      <c r="I26" t="s" s="33">
        <v>11</v>
      </c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s="34"/>
      <c r="Z26" t="s" s="8">
        <v>10</v>
      </c>
      <c r="AA26" s="34"/>
      <c r="AB26" t="s" s="8">
        <v>10</v>
      </c>
      <c r="AC26" s="34"/>
      <c r="AD26" s="23"/>
      <c r="AE26" s="13"/>
      <c r="AF26" s="7"/>
    </row>
    <row r="27" ht="13.75" customHeight="1">
      <c r="A27" s="48"/>
      <c r="B27" t="s" s="8">
        <v>28</v>
      </c>
      <c r="C27" s="9"/>
      <c r="D27" s="9"/>
      <c r="E27" t="s" s="8">
        <v>14</v>
      </c>
      <c r="F27" t="s" s="8">
        <v>6</v>
      </c>
      <c r="G27" s="16">
        <v>2002</v>
      </c>
      <c r="H27" t="s" s="8">
        <v>6</v>
      </c>
      <c r="I27" s="16">
        <v>2201</v>
      </c>
      <c r="J27" t="s" s="8">
        <v>6</v>
      </c>
      <c r="K27" s="40"/>
      <c r="L27" t="s" s="8">
        <v>6</v>
      </c>
      <c r="M27" s="18"/>
      <c r="N27" t="s" s="8">
        <v>6</v>
      </c>
      <c r="O27" s="18"/>
      <c r="P27" t="s" s="8">
        <v>6</v>
      </c>
      <c r="Q27" s="18"/>
      <c r="R27" t="s" s="8">
        <v>6</v>
      </c>
      <c r="S27" s="18"/>
      <c r="T27" t="s" s="8">
        <v>6</v>
      </c>
      <c r="U27" s="18"/>
      <c r="V27" t="s" s="8">
        <v>6</v>
      </c>
      <c r="W27" s="18"/>
      <c r="X27" t="s" s="8">
        <v>6</v>
      </c>
      <c r="Y27" s="18"/>
      <c r="Z27" t="s" s="8">
        <v>6</v>
      </c>
      <c r="AA27" s="18"/>
      <c r="AB27" t="s" s="8">
        <v>6</v>
      </c>
      <c r="AC27" s="18"/>
      <c r="AD27" s="23"/>
      <c r="AE27" s="13"/>
      <c r="AF27" s="7"/>
    </row>
    <row r="28" ht="13.55" customHeight="1">
      <c r="A28" s="48"/>
      <c r="B28" t="s" s="8">
        <v>29</v>
      </c>
      <c r="C28" s="9"/>
      <c r="D28" s="9"/>
      <c r="E28" s="9"/>
      <c r="F28" t="s" s="8">
        <v>8</v>
      </c>
      <c r="G28" s="26">
        <v>800</v>
      </c>
      <c r="H28" t="s" s="8">
        <v>8</v>
      </c>
      <c r="I28" s="26">
        <v>800</v>
      </c>
      <c r="J28" t="s" s="8">
        <v>8</v>
      </c>
      <c r="K28" s="41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8">
        <v>8</v>
      </c>
      <c r="Y28" s="27"/>
      <c r="Z28" t="s" s="8">
        <v>8</v>
      </c>
      <c r="AA28" s="27"/>
      <c r="AB28" t="s" s="8">
        <v>8</v>
      </c>
      <c r="AC28" s="27"/>
      <c r="AD28" s="23" cm="1">
        <f t="array" ref="AD28">G28+I28+K28+M28+O28+Q28+S28+U28+W28+Y28+AA28+AC28</f>
      </c>
      <c r="AE28" s="50" cm="1">
        <f t="array" ref="AE28">500*11</f>
        <v>5500</v>
      </c>
      <c r="AF28" s="7" cm="1">
        <f t="array" ref="AF28">AE28-AD28</f>
      </c>
    </row>
    <row r="29" ht="13.55" customHeight="1">
      <c r="A29" s="52"/>
      <c r="B29" s="9"/>
      <c r="C29" s="9"/>
      <c r="D29" s="9"/>
      <c r="E29" s="9"/>
      <c r="F29" t="s" s="8">
        <v>10</v>
      </c>
      <c r="G29" t="s" s="33">
        <v>11</v>
      </c>
      <c r="H29" t="s" s="8">
        <v>10</v>
      </c>
      <c r="I29" t="s" s="33">
        <v>12</v>
      </c>
      <c r="J29" t="s" s="8">
        <v>10</v>
      </c>
      <c r="K29" s="45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8">
        <v>10</v>
      </c>
      <c r="Y29" s="34"/>
      <c r="Z29" t="s" s="8">
        <v>10</v>
      </c>
      <c r="AA29" s="34"/>
      <c r="AB29" t="s" s="8">
        <v>10</v>
      </c>
      <c r="AC29" s="34"/>
      <c r="AD29" s="23"/>
      <c r="AE29" s="13"/>
      <c r="AF29" s="7"/>
    </row>
    <row r="30" ht="13.55" customHeight="1">
      <c r="A30" s="9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23"/>
      <c r="AE30" s="13"/>
      <c r="AF30" s="7"/>
    </row>
    <row r="31" ht="13.75" customHeight="1">
      <c r="A31" s="47">
        <v>5</v>
      </c>
      <c r="B31" t="s" s="15">
        <v>30</v>
      </c>
      <c r="C31" s="9"/>
      <c r="D31" s="9"/>
      <c r="E31" t="s" s="8">
        <v>5</v>
      </c>
      <c r="F31" t="s" s="8">
        <v>6</v>
      </c>
      <c r="G31" s="16">
        <v>1137</v>
      </c>
      <c r="H31" t="s" s="8">
        <v>6</v>
      </c>
      <c r="I31" s="16">
        <v>1137</v>
      </c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8">
        <v>6</v>
      </c>
      <c r="AA31" s="18"/>
      <c r="AB31" t="s" s="8">
        <v>6</v>
      </c>
      <c r="AC31" s="18"/>
      <c r="AD31" s="23"/>
      <c r="AE31" s="13"/>
      <c r="AF31" s="7"/>
    </row>
    <row r="32" ht="13.55" customHeight="1">
      <c r="A32" s="48"/>
      <c r="B32" s="23"/>
      <c r="C32" t="s" s="8">
        <v>7</v>
      </c>
      <c r="D32" s="25">
        <v>1000</v>
      </c>
      <c r="E32" s="9"/>
      <c r="F32" t="s" s="8">
        <v>8</v>
      </c>
      <c r="G32" s="26">
        <v>400</v>
      </c>
      <c r="H32" t="s" s="8">
        <v>8</v>
      </c>
      <c r="I32" s="26">
        <v>400</v>
      </c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8">
        <v>8</v>
      </c>
      <c r="AA32" s="27"/>
      <c r="AB32" t="s" s="8">
        <v>8</v>
      </c>
      <c r="AC32" s="27"/>
      <c r="AD32" s="31" cm="1">
        <f t="array" ref="AD32">G32+I32+K32+M32+O32+Q32+S32+U32+W32+Y32+AA32+AC32</f>
        <v>800</v>
      </c>
      <c r="AE32" s="50" cm="1">
        <f t="array" ref="AE32">800*12</f>
        <v>9600</v>
      </c>
      <c r="AF32" s="51" cm="1">
        <f t="array" ref="AF32">AE32-AD32</f>
        <v>8800</v>
      </c>
    </row>
    <row r="33" ht="13.55" customHeight="1">
      <c r="A33" s="48"/>
      <c r="B33" t="s" s="54">
        <v>22</v>
      </c>
      <c r="C33" t="s" s="8">
        <v>9</v>
      </c>
      <c r="D33" s="25">
        <v>1000</v>
      </c>
      <c r="E33" s="9"/>
      <c r="F33" t="s" s="8">
        <v>10</v>
      </c>
      <c r="G33" t="s" s="33">
        <v>31</v>
      </c>
      <c r="H33" t="s" s="8">
        <v>10</v>
      </c>
      <c r="I33" t="s" s="33">
        <v>31</v>
      </c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8">
        <v>10</v>
      </c>
      <c r="AA33" s="34"/>
      <c r="AB33" t="s" s="8">
        <v>10</v>
      </c>
      <c r="AC33" s="34"/>
      <c r="AD33" s="23"/>
      <c r="AE33" s="13"/>
      <c r="AF33" s="7"/>
    </row>
    <row r="34" ht="13.75" customHeight="1">
      <c r="A34" s="48"/>
      <c r="B34" t="s" s="8">
        <v>32</v>
      </c>
      <c r="C34" s="9"/>
      <c r="D34" s="9"/>
      <c r="E34" t="s" s="8">
        <v>14</v>
      </c>
      <c r="F34" t="s" s="8">
        <v>6</v>
      </c>
      <c r="G34" s="16">
        <v>2060</v>
      </c>
      <c r="H34" t="s" s="8">
        <v>6</v>
      </c>
      <c r="I34" s="18"/>
      <c r="J34" t="s" s="8">
        <v>6</v>
      </c>
      <c r="K34" s="27"/>
      <c r="L34" t="s" s="8">
        <v>6</v>
      </c>
      <c r="M34" s="18"/>
      <c r="N34" t="s" s="8">
        <v>6</v>
      </c>
      <c r="O34" s="18"/>
      <c r="P34" t="s" s="8">
        <v>6</v>
      </c>
      <c r="Q34" s="18"/>
      <c r="R34" t="s" s="8">
        <v>6</v>
      </c>
      <c r="S34" s="18"/>
      <c r="T34" t="s" s="8">
        <v>6</v>
      </c>
      <c r="U34" s="18"/>
      <c r="V34" t="s" s="8">
        <v>6</v>
      </c>
      <c r="W34" s="18"/>
      <c r="X34" t="s" s="8">
        <v>6</v>
      </c>
      <c r="Y34" s="18"/>
      <c r="Z34" t="s" s="8">
        <v>6</v>
      </c>
      <c r="AA34" s="18"/>
      <c r="AB34" t="s" s="8">
        <v>6</v>
      </c>
      <c r="AC34" s="18"/>
      <c r="AD34" s="23"/>
      <c r="AE34" s="13"/>
      <c r="AF34" s="7"/>
    </row>
    <row r="35" ht="13.55" customHeight="1">
      <c r="A35" s="48"/>
      <c r="B35" t="s" s="8">
        <v>33</v>
      </c>
      <c r="C35" s="9"/>
      <c r="D35" s="9"/>
      <c r="E35" s="9"/>
      <c r="F35" t="s" s="8">
        <v>8</v>
      </c>
      <c r="G35" s="26">
        <v>600</v>
      </c>
      <c r="H35" t="s" s="8">
        <v>8</v>
      </c>
      <c r="I35" s="27"/>
      <c r="J35" t="s" s="8">
        <v>8</v>
      </c>
      <c r="K35" s="27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27"/>
      <c r="T35" t="s" s="8">
        <v>8</v>
      </c>
      <c r="U35" s="27"/>
      <c r="V35" t="s" s="8">
        <v>8</v>
      </c>
      <c r="W35" s="27"/>
      <c r="X35" t="s" s="8">
        <v>8</v>
      </c>
      <c r="Y35" s="27"/>
      <c r="Z35" t="s" s="8">
        <v>8</v>
      </c>
      <c r="AA35" s="27"/>
      <c r="AB35" t="s" s="8">
        <v>8</v>
      </c>
      <c r="AC35" s="27"/>
      <c r="AD35" s="31" cm="1">
        <f t="array" ref="AD35">G35+I35+K35+M35+O35+Q35+S35+U35+W35+Y35+AA35+AC35</f>
        <v>600</v>
      </c>
      <c r="AE35" s="50" cm="1">
        <f t="array" ref="AE35">500*11</f>
        <v>5500</v>
      </c>
      <c r="AF35" s="51" cm="1">
        <f t="array" ref="AF35">AE35-AD35</f>
        <v>4900</v>
      </c>
    </row>
    <row r="36" ht="13.55" customHeight="1">
      <c r="A36" s="52"/>
      <c r="B36" s="9"/>
      <c r="C36" s="9"/>
      <c r="D36" s="9"/>
      <c r="E36" s="9"/>
      <c r="F36" t="s" s="8">
        <v>10</v>
      </c>
      <c r="G36" t="s" s="33">
        <v>31</v>
      </c>
      <c r="H36" t="s" s="8">
        <v>10</v>
      </c>
      <c r="I36" s="34"/>
      <c r="J36" t="s" s="8">
        <v>10</v>
      </c>
      <c r="K36" s="27"/>
      <c r="L36" t="s" s="8">
        <v>10</v>
      </c>
      <c r="M36" s="34"/>
      <c r="N36" t="s" s="8">
        <v>10</v>
      </c>
      <c r="O36" s="34"/>
      <c r="P36" t="s" s="8">
        <v>10</v>
      </c>
      <c r="Q36" s="34"/>
      <c r="R36" t="s" s="8">
        <v>10</v>
      </c>
      <c r="S36" s="34"/>
      <c r="T36" t="s" s="8">
        <v>10</v>
      </c>
      <c r="U36" s="34"/>
      <c r="V36" t="s" s="8">
        <v>10</v>
      </c>
      <c r="W36" s="34"/>
      <c r="X36" t="s" s="8">
        <v>10</v>
      </c>
      <c r="Y36" s="34"/>
      <c r="Z36" t="s" s="8">
        <v>10</v>
      </c>
      <c r="AA36" s="34"/>
      <c r="AB36" t="s" s="8">
        <v>10</v>
      </c>
      <c r="AC36" s="34"/>
      <c r="AD36" s="23"/>
      <c r="AE36" s="13"/>
      <c r="AF36" s="7"/>
    </row>
    <row r="37" ht="13.55" customHeight="1">
      <c r="A37" s="9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23"/>
      <c r="AE37" s="13"/>
      <c r="AF37" s="7"/>
    </row>
    <row r="38" ht="13.75" customHeight="1">
      <c r="A38" s="47">
        <v>6</v>
      </c>
      <c r="B38" t="s" s="15">
        <v>34</v>
      </c>
      <c r="C38" s="9"/>
      <c r="D38" s="9"/>
      <c r="E38" t="s" s="8">
        <v>5</v>
      </c>
      <c r="F38" t="s" s="8">
        <v>6</v>
      </c>
      <c r="G38" s="16">
        <v>1077</v>
      </c>
      <c r="H38" t="s" s="8">
        <v>6</v>
      </c>
      <c r="I38" s="16">
        <v>3258</v>
      </c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8"/>
      <c r="Z38" t="s" s="8">
        <v>6</v>
      </c>
      <c r="AA38" s="18"/>
      <c r="AB38" t="s" s="8">
        <v>6</v>
      </c>
      <c r="AC38" s="18"/>
      <c r="AD38" s="23"/>
      <c r="AE38" s="13"/>
      <c r="AF38" s="55"/>
    </row>
    <row r="39" ht="13.55" customHeight="1">
      <c r="A39" s="48"/>
      <c r="B39" s="56"/>
      <c r="C39" t="s" s="8">
        <v>7</v>
      </c>
      <c r="D39" s="25">
        <v>1000</v>
      </c>
      <c r="E39" s="9"/>
      <c r="F39" t="s" s="8">
        <v>8</v>
      </c>
      <c r="G39" s="26">
        <v>800</v>
      </c>
      <c r="H39" t="s" s="8">
        <v>8</v>
      </c>
      <c r="I39" s="26">
        <v>800</v>
      </c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8">
        <v>8</v>
      </c>
      <c r="AA39" s="27"/>
      <c r="AB39" t="s" s="8">
        <v>8</v>
      </c>
      <c r="AC39" s="57"/>
      <c r="AD39" s="31" cm="1">
        <f t="array" ref="AD39">G39+I39+K39+M39+O39+Q39+S39+U39+W39+Y39+AA39+AC39</f>
        <v>1600</v>
      </c>
      <c r="AE39" s="58" cm="1">
        <f t="array" ref="AE39">400*12</f>
        <v>4800</v>
      </c>
      <c r="AF39" s="59" cm="1">
        <f t="array" ref="AF39">AE39-AD39</f>
        <v>3200</v>
      </c>
    </row>
    <row r="40" ht="13.55" customHeight="1">
      <c r="A40" s="48"/>
      <c r="B40" s="23"/>
      <c r="C40" t="s" s="8">
        <v>9</v>
      </c>
      <c r="D40" s="25">
        <v>1000</v>
      </c>
      <c r="E40" s="9"/>
      <c r="F40" t="s" s="8">
        <v>10</v>
      </c>
      <c r="G40" t="s" s="33">
        <v>17</v>
      </c>
      <c r="H40" t="s" s="8">
        <v>10</v>
      </c>
      <c r="I40" t="s" s="33">
        <v>35</v>
      </c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8">
        <v>10</v>
      </c>
      <c r="AA40" s="34"/>
      <c r="AB40" t="s" s="8">
        <v>10</v>
      </c>
      <c r="AC40" s="34"/>
      <c r="AD40" s="23"/>
      <c r="AE40" s="13"/>
      <c r="AF40" s="60"/>
    </row>
    <row r="41" ht="13.75" customHeight="1">
      <c r="A41" s="48"/>
      <c r="B41" t="s" s="8">
        <v>36</v>
      </c>
      <c r="C41" s="9"/>
      <c r="D41" s="9"/>
      <c r="E41" t="s" s="8">
        <v>14</v>
      </c>
      <c r="F41" t="s" s="8">
        <v>6</v>
      </c>
      <c r="G41" s="31">
        <v>2017</v>
      </c>
      <c r="H41" t="s" s="8">
        <v>6</v>
      </c>
      <c r="I41" s="18"/>
      <c r="J41" t="s" s="8">
        <v>6</v>
      </c>
      <c r="K41" s="40"/>
      <c r="L41" t="s" s="8">
        <v>6</v>
      </c>
      <c r="M41" s="18"/>
      <c r="N41" t="s" s="8">
        <v>6</v>
      </c>
      <c r="O41" s="18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8">
        <v>6</v>
      </c>
      <c r="Y41" s="18"/>
      <c r="Z41" t="s" s="8">
        <v>6</v>
      </c>
      <c r="AA41" s="18"/>
      <c r="AB41" t="s" s="8">
        <v>6</v>
      </c>
      <c r="AC41" s="18"/>
      <c r="AD41" s="23"/>
      <c r="AE41" s="13"/>
      <c r="AF41" s="7"/>
    </row>
    <row r="42" ht="13.55" customHeight="1">
      <c r="A42" s="48"/>
      <c r="B42" t="s" s="8">
        <v>37</v>
      </c>
      <c r="C42" s="9"/>
      <c r="D42" s="9"/>
      <c r="E42" s="9"/>
      <c r="F42" t="s" s="8">
        <v>8</v>
      </c>
      <c r="G42" s="26">
        <v>800</v>
      </c>
      <c r="H42" t="s" s="8">
        <v>8</v>
      </c>
      <c r="I42" s="27"/>
      <c r="J42" t="s" s="8">
        <v>8</v>
      </c>
      <c r="K42" s="41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8">
        <v>8</v>
      </c>
      <c r="AA42" s="27"/>
      <c r="AB42" t="s" s="8">
        <v>8</v>
      </c>
      <c r="AC42" s="27"/>
      <c r="AD42" s="23" cm="1">
        <f t="array" ref="AD42">G42+I42+K42+M42+O42+Q42+S42+U42+W42+Y42+AA42+AC42</f>
      </c>
      <c r="AE42" s="50" cm="1">
        <f t="array" ref="AE42">700*10</f>
        <v>7000</v>
      </c>
      <c r="AF42" s="7" cm="1">
        <f t="array" ref="AF42">AE42-AD42</f>
      </c>
    </row>
    <row r="43" ht="13.55" customHeight="1">
      <c r="A43" s="52"/>
      <c r="B43" s="9"/>
      <c r="C43" s="9"/>
      <c r="D43" s="9"/>
      <c r="E43" s="9"/>
      <c r="F43" t="s" s="8">
        <v>10</v>
      </c>
      <c r="G43" t="s" s="33">
        <v>17</v>
      </c>
      <c r="H43" t="s" s="8">
        <v>10</v>
      </c>
      <c r="I43" s="34"/>
      <c r="J43" t="s" s="8">
        <v>10</v>
      </c>
      <c r="K43" s="45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8">
        <v>10</v>
      </c>
      <c r="AA43" s="34"/>
      <c r="AB43" t="s" s="8">
        <v>10</v>
      </c>
      <c r="AC43" s="34"/>
      <c r="AD43" s="23"/>
      <c r="AE43" s="13"/>
      <c r="AF43" s="7"/>
    </row>
    <row r="44" ht="13.55" customHeight="1">
      <c r="A44" s="9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23"/>
      <c r="AE44" s="13"/>
      <c r="AF44" s="7"/>
    </row>
    <row r="45" ht="13.75" customHeight="1">
      <c r="A45" s="47">
        <v>7</v>
      </c>
      <c r="B45" t="s" s="15">
        <v>38</v>
      </c>
      <c r="C45" s="9"/>
      <c r="D45" s="9"/>
      <c r="E45" t="s" s="8">
        <v>5</v>
      </c>
      <c r="F45" t="s" s="8">
        <v>6</v>
      </c>
      <c r="G45" s="31">
        <v>1188</v>
      </c>
      <c r="H45" t="s" s="8">
        <v>6</v>
      </c>
      <c r="I45" s="31">
        <v>3259</v>
      </c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8"/>
      <c r="Z45" t="s" s="8">
        <v>6</v>
      </c>
      <c r="AA45" s="18"/>
      <c r="AB45" t="s" s="8">
        <v>6</v>
      </c>
      <c r="AC45" s="18"/>
      <c r="AD45" s="23"/>
      <c r="AE45" s="13"/>
      <c r="AF45" s="7"/>
    </row>
    <row r="46" ht="13.55" customHeight="1">
      <c r="A46" s="48"/>
      <c r="B46" s="9"/>
      <c r="C46" t="s" s="8">
        <v>7</v>
      </c>
      <c r="D46" s="25">
        <v>1000</v>
      </c>
      <c r="E46" s="9"/>
      <c r="F46" t="s" s="8">
        <v>8</v>
      </c>
      <c r="G46" s="26">
        <v>800</v>
      </c>
      <c r="H46" t="s" s="8">
        <v>8</v>
      </c>
      <c r="I46" s="26">
        <v>800</v>
      </c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8">
        <v>8</v>
      </c>
      <c r="AA46" s="27"/>
      <c r="AB46" t="s" s="8">
        <v>8</v>
      </c>
      <c r="AC46" s="27"/>
      <c r="AD46" s="31" cm="1">
        <f t="array" ref="AD46">G46+I46+K46+M46+O46+Q46+S46+U46+W46+Y46+AA46+AC46</f>
        <v>1600</v>
      </c>
      <c r="AE46" s="50" cm="1">
        <f t="array" ref="AE46">800*11</f>
        <v>8800</v>
      </c>
      <c r="AF46" s="51" cm="1">
        <f t="array" ref="AF46">AE46-AD46</f>
        <v>7200</v>
      </c>
    </row>
    <row r="47" ht="13.55" customHeight="1">
      <c r="A47" s="48"/>
      <c r="B47" s="23"/>
      <c r="C47" t="s" s="8">
        <v>9</v>
      </c>
      <c r="D47" s="25">
        <v>1000</v>
      </c>
      <c r="E47" s="9"/>
      <c r="F47" t="s" s="8">
        <v>10</v>
      </c>
      <c r="G47" t="s" s="33">
        <v>39</v>
      </c>
      <c r="H47" t="s" s="8">
        <v>10</v>
      </c>
      <c r="I47" t="s" s="33">
        <v>35</v>
      </c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8">
        <v>10</v>
      </c>
      <c r="AA47" s="34"/>
      <c r="AB47" t="s" s="8">
        <v>10</v>
      </c>
      <c r="AC47" s="34"/>
      <c r="AD47" s="23"/>
      <c r="AE47" s="13"/>
      <c r="AF47" s="7"/>
    </row>
    <row r="48" ht="13.75" customHeight="1">
      <c r="A48" s="48"/>
      <c r="B48" t="s" s="8">
        <v>40</v>
      </c>
      <c r="C48" s="9"/>
      <c r="D48" s="9"/>
      <c r="E48" t="s" s="8">
        <v>14</v>
      </c>
      <c r="F48" t="s" s="8">
        <v>6</v>
      </c>
      <c r="G48" s="31">
        <v>2102</v>
      </c>
      <c r="H48" t="s" s="8">
        <v>6</v>
      </c>
      <c r="I48" s="31">
        <v>2220</v>
      </c>
      <c r="J48" t="s" s="8">
        <v>6</v>
      </c>
      <c r="K48" s="40"/>
      <c r="L48" t="s" s="8">
        <v>6</v>
      </c>
      <c r="M48" s="18"/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8">
        <v>6</v>
      </c>
      <c r="Y48" s="18"/>
      <c r="Z48" t="s" s="8">
        <v>6</v>
      </c>
      <c r="AA48" s="18"/>
      <c r="AB48" t="s" s="8">
        <v>6</v>
      </c>
      <c r="AC48" s="18"/>
      <c r="AD48" s="23"/>
      <c r="AE48" s="13"/>
      <c r="AF48" s="7"/>
    </row>
    <row r="49" ht="13.55" customHeight="1">
      <c r="A49" s="48"/>
      <c r="B49" t="s" s="8">
        <v>41</v>
      </c>
      <c r="C49" s="9"/>
      <c r="D49" s="9"/>
      <c r="E49" s="9"/>
      <c r="F49" t="s" s="8">
        <v>8</v>
      </c>
      <c r="G49" s="26">
        <v>1000</v>
      </c>
      <c r="H49" t="s" s="8">
        <v>8</v>
      </c>
      <c r="I49" s="26">
        <v>1000</v>
      </c>
      <c r="J49" t="s" s="8">
        <v>8</v>
      </c>
      <c r="K49" s="41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7"/>
      <c r="Z49" t="s" s="8">
        <v>8</v>
      </c>
      <c r="AA49" s="27"/>
      <c r="AB49" t="s" s="8">
        <v>8</v>
      </c>
      <c r="AC49" s="27"/>
      <c r="AD49" s="23" cm="1">
        <f t="array" ref="AD49">G49+I49+K49+M49+O49+Q49+S49+U49+W49+Y49+AA49+AC49</f>
      </c>
      <c r="AE49" s="50" cm="1">
        <f t="array" ref="AE49">700*10</f>
        <v>7000</v>
      </c>
      <c r="AF49" s="7" cm="1">
        <f t="array" ref="AF49">AE49-AD49</f>
      </c>
    </row>
    <row r="50" ht="13.55" customHeight="1">
      <c r="A50" s="52"/>
      <c r="B50" s="9"/>
      <c r="C50" s="9"/>
      <c r="D50" s="9"/>
      <c r="E50" s="9"/>
      <c r="F50" t="s" s="8">
        <v>10</v>
      </c>
      <c r="G50" t="s" s="33">
        <v>39</v>
      </c>
      <c r="H50" t="s" s="8">
        <v>10</v>
      </c>
      <c r="I50" t="s" s="33">
        <v>35</v>
      </c>
      <c r="J50" t="s" s="8">
        <v>10</v>
      </c>
      <c r="K50" s="45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s="34"/>
      <c r="Z50" t="s" s="8">
        <v>10</v>
      </c>
      <c r="AA50" s="34"/>
      <c r="AB50" t="s" s="8">
        <v>10</v>
      </c>
      <c r="AC50" s="34"/>
      <c r="AD50" s="23"/>
      <c r="AE50" s="13"/>
      <c r="AF50" s="7"/>
    </row>
    <row r="51" ht="13.55" customHeight="1">
      <c r="A51" s="9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23"/>
      <c r="AE51" s="13"/>
      <c r="AF51" s="7"/>
    </row>
    <row r="52" ht="13.75" customHeight="1">
      <c r="A52" s="47">
        <v>8</v>
      </c>
      <c r="B52" t="s" s="15">
        <v>42</v>
      </c>
      <c r="C52" s="9"/>
      <c r="D52" s="9"/>
      <c r="E52" t="s" s="8">
        <v>5</v>
      </c>
      <c r="F52" t="s" s="8">
        <v>6</v>
      </c>
      <c r="G52" s="31">
        <v>1187</v>
      </c>
      <c r="H52" t="s" s="8">
        <v>6</v>
      </c>
      <c r="I52" s="18"/>
      <c r="J52" t="s" s="8">
        <v>6</v>
      </c>
      <c r="K52" s="23"/>
      <c r="L52" t="s" s="8">
        <v>6</v>
      </c>
      <c r="M52" s="23"/>
      <c r="N52" t="s" s="8">
        <v>6</v>
      </c>
      <c r="O52" s="23"/>
      <c r="P52" t="s" s="8">
        <v>6</v>
      </c>
      <c r="Q52" s="23"/>
      <c r="R52" t="s" s="8">
        <v>6</v>
      </c>
      <c r="S52" s="23"/>
      <c r="T52" t="s" s="8">
        <v>6</v>
      </c>
      <c r="U52" s="23"/>
      <c r="V52" t="s" s="8">
        <v>6</v>
      </c>
      <c r="W52" s="23"/>
      <c r="X52" t="s" s="8">
        <v>6</v>
      </c>
      <c r="Y52" s="23"/>
      <c r="Z52" t="s" s="8">
        <v>6</v>
      </c>
      <c r="AA52" s="23"/>
      <c r="AB52" t="s" s="8">
        <v>6</v>
      </c>
      <c r="AC52" s="23"/>
      <c r="AD52" s="23"/>
      <c r="AE52" s="13"/>
      <c r="AF52" s="7"/>
    </row>
    <row r="53" ht="13.55" customHeight="1">
      <c r="A53" s="48"/>
      <c r="B53" s="9"/>
      <c r="C53" t="s" s="8">
        <v>7</v>
      </c>
      <c r="D53" s="25">
        <v>1000</v>
      </c>
      <c r="E53" s="9"/>
      <c r="F53" t="s" s="8">
        <v>8</v>
      </c>
      <c r="G53" s="26">
        <v>800</v>
      </c>
      <c r="H53" t="s" s="8">
        <v>8</v>
      </c>
      <c r="I53" s="27"/>
      <c r="J53" t="s" s="8">
        <v>8</v>
      </c>
      <c r="K53" s="27"/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7"/>
      <c r="Z53" t="s" s="8">
        <v>8</v>
      </c>
      <c r="AA53" s="27"/>
      <c r="AB53" t="s" s="8">
        <v>8</v>
      </c>
      <c r="AC53" s="27"/>
      <c r="AD53" s="31" cm="1">
        <f t="array" ref="AD53">G53+I53+K53+M53+O53+Q53+S53+U53+W53+Y53+AA53+AC53</f>
        <v>800</v>
      </c>
      <c r="AE53" s="50" cm="1">
        <f t="array" ref="AE53">800*11</f>
        <v>8800</v>
      </c>
      <c r="AF53" s="51" cm="1">
        <f t="array" ref="AF53">AE53-AD53</f>
        <v>8000</v>
      </c>
    </row>
    <row r="54" ht="13.55" customHeight="1">
      <c r="A54" s="48"/>
      <c r="B54" s="23"/>
      <c r="C54" t="s" s="8">
        <v>9</v>
      </c>
      <c r="D54" s="25">
        <v>1000</v>
      </c>
      <c r="E54" s="9"/>
      <c r="F54" t="s" s="8">
        <v>10</v>
      </c>
      <c r="G54" t="s" s="33">
        <v>39</v>
      </c>
      <c r="H54" t="s" s="8">
        <v>10</v>
      </c>
      <c r="I54" s="34"/>
      <c r="J54" t="s" s="8">
        <v>10</v>
      </c>
      <c r="K54" s="34"/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s="34"/>
      <c r="Z54" t="s" s="8">
        <v>10</v>
      </c>
      <c r="AA54" s="34"/>
      <c r="AB54" t="s" s="8">
        <v>10</v>
      </c>
      <c r="AC54" s="34"/>
      <c r="AD54" s="23"/>
      <c r="AE54" s="13"/>
      <c r="AF54" s="7"/>
    </row>
    <row r="55" ht="13.75" customHeight="1">
      <c r="A55" s="48"/>
      <c r="B55" t="s" s="8">
        <v>43</v>
      </c>
      <c r="C55" s="9"/>
      <c r="D55" s="9"/>
      <c r="E55" t="s" s="8">
        <v>14</v>
      </c>
      <c r="F55" t="s" s="8">
        <v>6</v>
      </c>
      <c r="G55" s="31">
        <v>2101</v>
      </c>
      <c r="H55" t="s" s="8">
        <v>6</v>
      </c>
      <c r="I55" s="18"/>
      <c r="J55" t="s" s="8">
        <v>6</v>
      </c>
      <c r="K55" s="18"/>
      <c r="L55" t="s" s="8">
        <v>6</v>
      </c>
      <c r="M55" s="18"/>
      <c r="N55" t="s" s="8">
        <v>6</v>
      </c>
      <c r="O55" s="18"/>
      <c r="P55" t="s" s="8">
        <v>6</v>
      </c>
      <c r="Q55" s="23"/>
      <c r="R55" t="s" s="8">
        <v>6</v>
      </c>
      <c r="S55" s="23"/>
      <c r="T55" t="s" s="8">
        <v>6</v>
      </c>
      <c r="U55" s="23"/>
      <c r="V55" t="s" s="8">
        <v>6</v>
      </c>
      <c r="W55" s="23"/>
      <c r="X55" t="s" s="8">
        <v>6</v>
      </c>
      <c r="Y55" s="23"/>
      <c r="Z55" t="s" s="8">
        <v>6</v>
      </c>
      <c r="AA55" s="23"/>
      <c r="AB55" t="s" s="8">
        <v>6</v>
      </c>
      <c r="AC55" s="23"/>
      <c r="AD55" s="23"/>
      <c r="AE55" s="13"/>
      <c r="AF55" s="7"/>
    </row>
    <row r="56" ht="13.55" customHeight="1">
      <c r="A56" s="48"/>
      <c r="B56" t="s" s="8">
        <v>44</v>
      </c>
      <c r="C56" s="9"/>
      <c r="D56" s="9"/>
      <c r="E56" s="9"/>
      <c r="F56" t="s" s="8">
        <v>8</v>
      </c>
      <c r="G56" s="26">
        <v>1000</v>
      </c>
      <c r="H56" t="s" s="8">
        <v>8</v>
      </c>
      <c r="I56" s="27"/>
      <c r="J56" t="s" s="8">
        <v>8</v>
      </c>
      <c r="K56" s="27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7"/>
      <c r="Z56" t="s" s="8">
        <v>8</v>
      </c>
      <c r="AA56" s="27"/>
      <c r="AB56" t="s" s="8">
        <v>8</v>
      </c>
      <c r="AC56" s="27"/>
      <c r="AD56" s="31" cm="1">
        <f t="array" ref="AD56">G56+I56+K56+M56+O56+Q56+S56+U56+W56+Y56+AA56+AC56</f>
        <v>1000</v>
      </c>
      <c r="AE56" s="50" cm="1">
        <f t="array" ref="AE56">500*10</f>
        <v>5000</v>
      </c>
      <c r="AF56" s="51" cm="1">
        <f t="array" ref="AF56">AE56-AD56</f>
        <v>4000</v>
      </c>
    </row>
    <row r="57" ht="13.55" customHeight="1">
      <c r="A57" s="52"/>
      <c r="B57" s="9"/>
      <c r="C57" s="9"/>
      <c r="D57" s="9"/>
      <c r="E57" s="9"/>
      <c r="F57" t="s" s="8">
        <v>10</v>
      </c>
      <c r="G57" t="s" s="33">
        <v>39</v>
      </c>
      <c r="H57" t="s" s="8">
        <v>10</v>
      </c>
      <c r="I57" s="34"/>
      <c r="J57" t="s" s="8">
        <v>10</v>
      </c>
      <c r="K57" s="34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s="34"/>
      <c r="Z57" t="s" s="8">
        <v>10</v>
      </c>
      <c r="AA57" s="34"/>
      <c r="AB57" t="s" s="8">
        <v>10</v>
      </c>
      <c r="AC57" s="34"/>
      <c r="AD57" s="23"/>
      <c r="AE57" s="13"/>
      <c r="AF57" s="7"/>
    </row>
    <row r="58" ht="13.55" customHeight="1">
      <c r="A58" s="9"/>
      <c r="B58" s="9"/>
      <c r="C58" s="9"/>
      <c r="D58" s="9"/>
      <c r="E58" s="9"/>
      <c r="F58" s="9"/>
      <c r="G58" s="27"/>
      <c r="H58" s="9"/>
      <c r="I58" s="27"/>
      <c r="J58" s="9"/>
      <c r="K58" s="2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23"/>
      <c r="AE58" s="13"/>
      <c r="AF58" s="7"/>
    </row>
    <row r="59" ht="13.75" customHeight="1">
      <c r="A59" s="47">
        <v>9</v>
      </c>
      <c r="B59" t="s" s="15">
        <v>45</v>
      </c>
      <c r="C59" s="9"/>
      <c r="D59" s="9"/>
      <c r="E59" t="s" s="8">
        <v>5</v>
      </c>
      <c r="F59" t="s" s="8">
        <v>6</v>
      </c>
      <c r="G59" t="s" s="61">
        <v>46</v>
      </c>
      <c r="H59" t="s" s="8">
        <v>6</v>
      </c>
      <c r="I59" s="23"/>
      <c r="J59" t="s" s="8">
        <v>6</v>
      </c>
      <c r="K59" s="27"/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8"/>
      <c r="Z59" t="s" s="8">
        <v>6</v>
      </c>
      <c r="AA59" s="18"/>
      <c r="AB59" t="s" s="8">
        <v>6</v>
      </c>
      <c r="AC59" s="18"/>
      <c r="AD59" s="23"/>
      <c r="AE59" s="13"/>
      <c r="AF59" s="7"/>
    </row>
    <row r="60" ht="13.55" customHeight="1">
      <c r="A60" s="48"/>
      <c r="B60" s="23"/>
      <c r="C60" t="s" s="8">
        <v>7</v>
      </c>
      <c r="D60" s="25">
        <v>1000</v>
      </c>
      <c r="E60" t="s" s="33">
        <v>47</v>
      </c>
      <c r="F60" t="s" s="8">
        <v>8</v>
      </c>
      <c r="G60" s="62"/>
      <c r="H60" t="s" s="8">
        <v>8</v>
      </c>
      <c r="I60" s="27"/>
      <c r="J60" t="s" s="8">
        <v>8</v>
      </c>
      <c r="K60" s="27"/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7"/>
      <c r="Z60" t="s" s="8">
        <v>8</v>
      </c>
      <c r="AA60" s="27"/>
      <c r="AB60" t="s" s="8">
        <v>8</v>
      </c>
      <c r="AC60" s="27"/>
      <c r="AD60" s="23" cm="1">
        <f t="array" ref="AD60">G60+I60+K60+M60+O60+Q60+S60+U60+W60+Y60+AA60+AC60</f>
      </c>
      <c r="AE60" s="50" cm="1">
        <f t="array" ref="AE60">800*9</f>
        <v>7200</v>
      </c>
      <c r="AF60" s="7" cm="1">
        <f t="array" ref="AF60">AE60-AD60</f>
      </c>
    </row>
    <row r="61" ht="13.55" customHeight="1">
      <c r="A61" s="48"/>
      <c r="B61" t="s" s="54">
        <v>22</v>
      </c>
      <c r="C61" t="s" s="8">
        <v>9</v>
      </c>
      <c r="D61" s="42"/>
      <c r="E61" s="9"/>
      <c r="F61" t="s" s="8">
        <v>10</v>
      </c>
      <c r="G61" s="63"/>
      <c r="H61" t="s" s="8">
        <v>10</v>
      </c>
      <c r="I61" s="34"/>
      <c r="J61" t="s" s="8">
        <v>10</v>
      </c>
      <c r="K61" s="27"/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s="34"/>
      <c r="Z61" t="s" s="8">
        <v>10</v>
      </c>
      <c r="AA61" s="34"/>
      <c r="AB61" t="s" s="8">
        <v>10</v>
      </c>
      <c r="AC61" s="34"/>
      <c r="AD61" s="23"/>
      <c r="AE61" s="13"/>
      <c r="AF61" s="7"/>
    </row>
    <row r="62" ht="13.75" customHeight="1">
      <c r="A62" s="48"/>
      <c r="B62" t="s" s="8">
        <v>48</v>
      </c>
      <c r="C62" s="9"/>
      <c r="D62" s="9"/>
      <c r="E62" t="s" s="8">
        <v>14</v>
      </c>
      <c r="F62" t="s" s="8">
        <v>6</v>
      </c>
      <c r="G62" s="64"/>
      <c r="H62" t="s" s="8">
        <v>6</v>
      </c>
      <c r="I62" s="23"/>
      <c r="J62" t="s" s="8">
        <v>6</v>
      </c>
      <c r="K62" s="23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8"/>
      <c r="Z62" t="s" s="8">
        <v>6</v>
      </c>
      <c r="AA62" s="18"/>
      <c r="AB62" t="s" s="8">
        <v>6</v>
      </c>
      <c r="AC62" s="18"/>
      <c r="AD62" s="23"/>
      <c r="AE62" s="13"/>
      <c r="AF62" s="7"/>
    </row>
    <row r="63" ht="13.55" customHeight="1">
      <c r="A63" s="48"/>
      <c r="B63" t="s" s="8">
        <v>49</v>
      </c>
      <c r="C63" s="9"/>
      <c r="D63" s="9"/>
      <c r="E63" s="9"/>
      <c r="F63" t="s" s="8">
        <v>8</v>
      </c>
      <c r="G63" s="64"/>
      <c r="H63" t="s" s="8">
        <v>8</v>
      </c>
      <c r="I63" s="23"/>
      <c r="J63" t="s" s="8">
        <v>8</v>
      </c>
      <c r="K63" s="23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7"/>
      <c r="Z63" t="s" s="8">
        <v>8</v>
      </c>
      <c r="AA63" s="27"/>
      <c r="AB63" t="s" s="8">
        <v>8</v>
      </c>
      <c r="AC63" s="27"/>
      <c r="AD63" s="23" cm="1">
        <f t="array" ref="AD63">G63+I63+K63+M63+O63+Q63+S63+U63+W63+Y63+AA63+AC63</f>
      </c>
      <c r="AE63" s="50" cm="1">
        <f t="array" ref="AE63">500*9</f>
        <v>4500</v>
      </c>
      <c r="AF63" s="7" cm="1">
        <f t="array" ref="AF63">AE63-AD63</f>
      </c>
    </row>
    <row r="64" ht="13.55" customHeight="1">
      <c r="A64" s="52"/>
      <c r="B64" s="9"/>
      <c r="C64" s="9"/>
      <c r="D64" s="9"/>
      <c r="E64" s="9"/>
      <c r="F64" t="s" s="8">
        <v>10</v>
      </c>
      <c r="G64" s="64"/>
      <c r="H64" t="s" s="8">
        <v>10</v>
      </c>
      <c r="I64" s="27"/>
      <c r="J64" t="s" s="8">
        <v>10</v>
      </c>
      <c r="K64" s="27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s="34"/>
      <c r="Z64" t="s" s="8">
        <v>10</v>
      </c>
      <c r="AA64" s="34"/>
      <c r="AB64" t="s" s="8">
        <v>10</v>
      </c>
      <c r="AC64" s="34"/>
      <c r="AD64" s="23"/>
      <c r="AE64" s="13"/>
      <c r="AF64" s="7"/>
    </row>
    <row r="65" ht="13.55" customHeight="1">
      <c r="A65" s="65"/>
      <c r="B65" s="65"/>
      <c r="C65" s="65"/>
      <c r="D65" s="65"/>
      <c r="E65" s="66"/>
      <c r="F65" s="66"/>
      <c r="G65" s="67"/>
      <c r="H65" s="66"/>
      <c r="I65" s="67"/>
      <c r="J65" s="66"/>
      <c r="K65" s="68"/>
      <c r="L65" s="66"/>
      <c r="M65" s="67"/>
      <c r="N65" s="66"/>
      <c r="O65" s="67"/>
      <c r="P65" s="66"/>
      <c r="Q65" s="69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70"/>
      <c r="AE65" s="7"/>
      <c r="AF65" s="7"/>
    </row>
    <row r="66" ht="13.75" customHeight="1">
      <c r="A66" s="47">
        <v>10</v>
      </c>
      <c r="B66" t="s" s="15">
        <v>50</v>
      </c>
      <c r="C66" s="9"/>
      <c r="D66" s="9"/>
      <c r="E66" t="s" s="8">
        <v>5</v>
      </c>
      <c r="F66" t="s" s="8">
        <v>6</v>
      </c>
      <c r="G66" s="19"/>
      <c r="H66" t="s" s="8">
        <v>6</v>
      </c>
      <c r="I66" s="31">
        <v>3159</v>
      </c>
      <c r="J66" t="s" s="8">
        <v>6</v>
      </c>
      <c r="K66" s="27"/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8"/>
      <c r="Z66" t="s" s="8">
        <v>6</v>
      </c>
      <c r="AA66" s="18"/>
      <c r="AB66" t="s" s="8">
        <v>6</v>
      </c>
      <c r="AC66" s="18"/>
      <c r="AD66" s="71"/>
      <c r="AE66" s="7"/>
      <c r="AF66" s="7"/>
    </row>
    <row r="67" ht="13.55" customHeight="1">
      <c r="A67" s="48"/>
      <c r="B67" s="9"/>
      <c r="C67" t="s" s="8">
        <v>7</v>
      </c>
      <c r="D67" s="25">
        <v>1000</v>
      </c>
      <c r="E67" s="9"/>
      <c r="F67" t="s" s="8">
        <v>8</v>
      </c>
      <c r="G67" s="19"/>
      <c r="H67" t="s" s="8">
        <v>8</v>
      </c>
      <c r="I67" s="26">
        <v>800</v>
      </c>
      <c r="J67" t="s" s="8">
        <v>8</v>
      </c>
      <c r="K67" s="27"/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7"/>
      <c r="Z67" t="s" s="8">
        <v>8</v>
      </c>
      <c r="AA67" s="27"/>
      <c r="AB67" t="s" s="8">
        <v>8</v>
      </c>
      <c r="AC67" s="27"/>
      <c r="AD67" s="31" cm="1">
        <f t="array" ref="AD67">G67+I67+K67+M67+O67+Q67+S67+U67+W67+Y67+AA67+AC67</f>
        <v>800</v>
      </c>
      <c r="AE67" s="50" cm="1">
        <f t="array" ref="AE67">800*9</f>
        <v>7200</v>
      </c>
      <c r="AF67" s="51" cm="1">
        <f t="array" ref="AF67">AE67-AD67</f>
        <v>6400</v>
      </c>
    </row>
    <row r="68" ht="13.55" customHeight="1">
      <c r="A68" s="48"/>
      <c r="B68" s="9"/>
      <c r="C68" t="s" s="8">
        <v>9</v>
      </c>
      <c r="D68" s="25">
        <v>1000</v>
      </c>
      <c r="E68" s="9"/>
      <c r="F68" t="s" s="8">
        <v>10</v>
      </c>
      <c r="G68" s="19"/>
      <c r="H68" t="s" s="8">
        <v>10</v>
      </c>
      <c r="I68" t="s" s="33">
        <v>51</v>
      </c>
      <c r="J68" t="s" s="8">
        <v>10</v>
      </c>
      <c r="K68" s="27"/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s="34"/>
      <c r="Z68" t="s" s="8">
        <v>10</v>
      </c>
      <c r="AA68" s="34"/>
      <c r="AB68" t="s" s="8">
        <v>10</v>
      </c>
      <c r="AC68" s="34"/>
      <c r="AD68" s="23"/>
      <c r="AE68" s="13"/>
      <c r="AF68" s="7"/>
    </row>
    <row r="69" ht="13.75" customHeight="1">
      <c r="A69" s="48"/>
      <c r="B69" t="s" s="8">
        <v>52</v>
      </c>
      <c r="C69" s="9"/>
      <c r="D69" s="9"/>
      <c r="E69" t="s" s="8">
        <v>14</v>
      </c>
      <c r="F69" t="s" s="8">
        <v>6</v>
      </c>
      <c r="G69" s="64"/>
      <c r="H69" t="s" s="8">
        <v>6</v>
      </c>
      <c r="I69" s="31">
        <v>2147</v>
      </c>
      <c r="J69" t="s" s="8">
        <v>6</v>
      </c>
      <c r="K69" s="23"/>
      <c r="L69" t="s" s="8">
        <v>6</v>
      </c>
      <c r="M69" s="18"/>
      <c r="N69" t="s" s="8">
        <v>6</v>
      </c>
      <c r="O69" s="18"/>
      <c r="P69" t="s" s="8">
        <v>6</v>
      </c>
      <c r="Q69" s="18"/>
      <c r="R69" t="s" s="8">
        <v>6</v>
      </c>
      <c r="S69" s="18"/>
      <c r="T69" t="s" s="8">
        <v>6</v>
      </c>
      <c r="U69" s="18"/>
      <c r="V69" t="s" s="8">
        <v>6</v>
      </c>
      <c r="W69" s="18"/>
      <c r="X69" t="s" s="8">
        <v>6</v>
      </c>
      <c r="Y69" s="18"/>
      <c r="Z69" t="s" s="8">
        <v>6</v>
      </c>
      <c r="AA69" s="18"/>
      <c r="AB69" t="s" s="8">
        <v>6</v>
      </c>
      <c r="AC69" s="18"/>
      <c r="AD69" s="23"/>
      <c r="AE69" s="13"/>
      <c r="AF69" s="7"/>
    </row>
    <row r="70" ht="13.55" customHeight="1">
      <c r="A70" s="48"/>
      <c r="B70" t="s" s="8">
        <v>53</v>
      </c>
      <c r="C70" s="9"/>
      <c r="D70" s="9"/>
      <c r="E70" s="9"/>
      <c r="F70" t="s" s="8">
        <v>8</v>
      </c>
      <c r="G70" s="64"/>
      <c r="H70" t="s" s="8">
        <v>8</v>
      </c>
      <c r="I70" s="26">
        <v>600</v>
      </c>
      <c r="J70" t="s" s="8">
        <v>8</v>
      </c>
      <c r="K70" s="23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8">
        <v>8</v>
      </c>
      <c r="Y70" s="27"/>
      <c r="Z70" t="s" s="8">
        <v>8</v>
      </c>
      <c r="AA70" s="27"/>
      <c r="AB70" t="s" s="8">
        <v>8</v>
      </c>
      <c r="AC70" s="27"/>
      <c r="AD70" s="23" cm="1">
        <f t="array" ref="AD70">G70+I70+K70+M70+O70+Q70+S70+U70+W70+Y70+AA70+AC70</f>
      </c>
      <c r="AE70" s="50" cm="1">
        <f t="array" ref="AE70">500*9</f>
        <v>4500</v>
      </c>
      <c r="AF70" s="7" cm="1">
        <f t="array" ref="AF70">AE70-AD70</f>
      </c>
    </row>
    <row r="71" ht="13.55" customHeight="1">
      <c r="A71" s="52"/>
      <c r="B71" s="9"/>
      <c r="C71" s="9"/>
      <c r="D71" s="9"/>
      <c r="E71" s="9"/>
      <c r="F71" t="s" s="8">
        <v>10</v>
      </c>
      <c r="G71" s="64"/>
      <c r="H71" t="s" s="8">
        <v>10</v>
      </c>
      <c r="I71" t="s" s="33">
        <v>51</v>
      </c>
      <c r="J71" t="s" s="8">
        <v>10</v>
      </c>
      <c r="K71" s="27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8">
        <v>10</v>
      </c>
      <c r="Y71" s="34"/>
      <c r="Z71" t="s" s="8">
        <v>10</v>
      </c>
      <c r="AA71" s="34"/>
      <c r="AB71" t="s" s="8">
        <v>10</v>
      </c>
      <c r="AC71" s="34"/>
      <c r="AD71" s="72"/>
      <c r="AE71" s="7"/>
      <c r="AF71" s="7"/>
    </row>
    <row r="72" ht="13.55" customHeight="1">
      <c r="A72" s="65"/>
      <c r="B72" s="65"/>
      <c r="C72" s="65"/>
      <c r="D72" s="65"/>
      <c r="E72" s="66"/>
      <c r="F72" s="66"/>
      <c r="G72" s="67"/>
      <c r="H72" s="66"/>
      <c r="I72" s="67"/>
      <c r="J72" s="66"/>
      <c r="K72" s="68"/>
      <c r="L72" s="66"/>
      <c r="M72" s="67"/>
      <c r="N72" s="66"/>
      <c r="O72" s="67"/>
      <c r="P72" s="66"/>
      <c r="Q72" s="69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"/>
      <c r="AE72" s="7"/>
      <c r="AF72" s="7"/>
    </row>
    <row r="73" ht="13.75" customHeight="1">
      <c r="A73" s="47">
        <v>11</v>
      </c>
      <c r="B73" t="s" s="15">
        <v>54</v>
      </c>
      <c r="C73" s="9"/>
      <c r="D73" s="9"/>
      <c r="E73" t="s" s="8">
        <v>5</v>
      </c>
      <c r="F73" t="s" s="8">
        <v>6</v>
      </c>
      <c r="G73" s="19"/>
      <c r="H73" t="s" s="8">
        <v>6</v>
      </c>
      <c r="I73" s="31">
        <v>3208</v>
      </c>
      <c r="J73" t="s" s="8">
        <v>6</v>
      </c>
      <c r="K73" s="31">
        <v>3208</v>
      </c>
      <c r="L73" t="s" s="8">
        <v>6</v>
      </c>
      <c r="M73" s="18"/>
      <c r="N73" t="s" s="8">
        <v>6</v>
      </c>
      <c r="O73" s="18"/>
      <c r="P73" t="s" s="8">
        <v>6</v>
      </c>
      <c r="Q73" s="18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"/>
      <c r="AE73" s="7"/>
      <c r="AF73" s="7"/>
    </row>
    <row r="74" ht="13.55" customHeight="1">
      <c r="A74" s="48"/>
      <c r="B74" s="9"/>
      <c r="C74" t="s" s="8">
        <v>7</v>
      </c>
      <c r="D74" s="25">
        <v>1000</v>
      </c>
      <c r="E74" s="9"/>
      <c r="F74" t="s" s="8">
        <v>8</v>
      </c>
      <c r="G74" s="19"/>
      <c r="H74" t="s" s="8">
        <v>8</v>
      </c>
      <c r="I74" s="26">
        <v>800</v>
      </c>
      <c r="J74" t="s" s="8">
        <v>8</v>
      </c>
      <c r="K74" s="26">
        <v>800</v>
      </c>
      <c r="L74" t="s" s="8">
        <v>8</v>
      </c>
      <c r="M74" s="27"/>
      <c r="N74" t="s" s="8">
        <v>8</v>
      </c>
      <c r="O74" s="27"/>
      <c r="P74" t="s" s="8">
        <v>8</v>
      </c>
      <c r="Q74" s="27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"/>
      <c r="AE74" s="7"/>
      <c r="AF74" s="7"/>
    </row>
    <row r="75" ht="13.55" customHeight="1">
      <c r="A75" s="48"/>
      <c r="B75" s="9"/>
      <c r="C75" t="s" s="8">
        <v>9</v>
      </c>
      <c r="D75" s="25">
        <v>1000</v>
      </c>
      <c r="E75" s="9"/>
      <c r="F75" t="s" s="8">
        <v>10</v>
      </c>
      <c r="G75" s="19"/>
      <c r="H75" t="s" s="8">
        <v>10</v>
      </c>
      <c r="I75" t="s" s="33">
        <v>55</v>
      </c>
      <c r="J75" t="s" s="8">
        <v>10</v>
      </c>
      <c r="K75" t="s" s="33">
        <v>55</v>
      </c>
      <c r="L75" t="s" s="8">
        <v>10</v>
      </c>
      <c r="M75" s="34"/>
      <c r="N75" t="s" s="8">
        <v>10</v>
      </c>
      <c r="O75" s="34"/>
      <c r="P75" t="s" s="8">
        <v>10</v>
      </c>
      <c r="Q75" s="34"/>
      <c r="R75" s="74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"/>
      <c r="AE75" s="7"/>
      <c r="AF75" s="7"/>
    </row>
    <row r="76" ht="13.75" customHeight="1">
      <c r="A76" s="48"/>
      <c r="B76" t="s" s="8">
        <v>56</v>
      </c>
      <c r="C76" s="9"/>
      <c r="D76" s="9"/>
      <c r="E76" t="s" s="8">
        <v>14</v>
      </c>
      <c r="F76" t="s" s="8">
        <v>6</v>
      </c>
      <c r="G76" s="76"/>
      <c r="H76" t="s" s="8">
        <v>6</v>
      </c>
      <c r="I76" s="23"/>
      <c r="J76" t="s" s="8">
        <v>6</v>
      </c>
      <c r="K76" s="31">
        <v>2182</v>
      </c>
      <c r="L76" t="s" s="8">
        <v>6</v>
      </c>
      <c r="M76" s="18"/>
      <c r="N76" t="s" s="8">
        <v>6</v>
      </c>
      <c r="O76" s="18"/>
      <c r="P76" t="s" s="8">
        <v>6</v>
      </c>
      <c r="Q76" s="18"/>
      <c r="R76" s="74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"/>
      <c r="AE76" s="7"/>
      <c r="AF76" s="7"/>
    </row>
    <row r="77" ht="13.55" customHeight="1">
      <c r="A77" s="48"/>
      <c r="B77" t="s" s="8">
        <v>57</v>
      </c>
      <c r="C77" s="9"/>
      <c r="D77" s="9"/>
      <c r="E77" s="9"/>
      <c r="F77" t="s" s="8">
        <v>8</v>
      </c>
      <c r="G77" s="77"/>
      <c r="H77" t="s" s="8">
        <v>8</v>
      </c>
      <c r="I77" s="27"/>
      <c r="J77" t="s" s="8">
        <v>8</v>
      </c>
      <c r="K77" s="26">
        <v>800</v>
      </c>
      <c r="L77" t="s" s="8">
        <v>8</v>
      </c>
      <c r="M77" s="27"/>
      <c r="N77" t="s" s="8">
        <v>8</v>
      </c>
      <c r="O77" s="27"/>
      <c r="P77" t="s" s="8">
        <v>8</v>
      </c>
      <c r="Q77" s="27"/>
      <c r="R77" s="74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"/>
      <c r="AE77" s="7"/>
      <c r="AF77" s="7"/>
    </row>
    <row r="78" ht="13.55" customHeight="1">
      <c r="A78" s="52"/>
      <c r="B78" s="9"/>
      <c r="C78" s="9"/>
      <c r="D78" s="9"/>
      <c r="E78" s="9"/>
      <c r="F78" t="s" s="8">
        <v>10</v>
      </c>
      <c r="G78" s="78"/>
      <c r="H78" t="s" s="8">
        <v>10</v>
      </c>
      <c r="I78" s="34"/>
      <c r="J78" t="s" s="8">
        <v>10</v>
      </c>
      <c r="K78" t="s" s="33">
        <v>55</v>
      </c>
      <c r="L78" t="s" s="8">
        <v>10</v>
      </c>
      <c r="M78" s="34"/>
      <c r="N78" t="s" s="8">
        <v>10</v>
      </c>
      <c r="O78" s="34"/>
      <c r="P78" t="s" s="8">
        <v>10</v>
      </c>
      <c r="Q78" s="34"/>
      <c r="R78" s="13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3.55" customHeight="1">
      <c r="A79" s="70"/>
      <c r="B79" s="70"/>
      <c r="C79" s="70"/>
      <c r="D79" s="70"/>
      <c r="E79" s="73"/>
      <c r="F79" s="73"/>
      <c r="G79" s="70"/>
      <c r="H79" s="73"/>
      <c r="I79" s="70"/>
      <c r="J79" s="73"/>
      <c r="K79" s="70"/>
      <c r="L79" s="73"/>
      <c r="M79" s="70"/>
      <c r="N79" s="73"/>
      <c r="O79" s="70"/>
      <c r="P79" s="73"/>
      <c r="Q79" s="70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"/>
      <c r="AE79" s="7"/>
      <c r="AF79" s="7"/>
    </row>
    <row r="80" ht="13.55" customHeight="1">
      <c r="A80" s="7"/>
      <c r="B80" s="7"/>
      <c r="C80" s="7"/>
      <c r="D80" s="7"/>
      <c r="E80" s="75"/>
      <c r="F80" s="75"/>
      <c r="G80" s="79"/>
      <c r="H80" s="75"/>
      <c r="I80" s="79"/>
      <c r="J80" s="75"/>
      <c r="K80" s="79"/>
      <c r="L80" s="75"/>
      <c r="M80" s="79"/>
      <c r="N80" s="75"/>
      <c r="O80" s="79"/>
      <c r="P80" s="75"/>
      <c r="Q80" s="79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"/>
      <c r="AE80" s="7"/>
      <c r="AF80" s="7"/>
    </row>
    <row r="81" ht="13.55" customHeight="1">
      <c r="A81" s="7"/>
      <c r="B81" s="7"/>
      <c r="C81" s="7"/>
      <c r="D81" s="7"/>
      <c r="E81" s="75"/>
      <c r="F81" s="75"/>
      <c r="G81" s="80"/>
      <c r="H81" s="75"/>
      <c r="I81" s="80"/>
      <c r="J81" s="75"/>
      <c r="K81" s="79"/>
      <c r="L81" s="75"/>
      <c r="M81" s="80"/>
      <c r="N81" s="75"/>
      <c r="O81" s="80"/>
      <c r="P81" s="75"/>
      <c r="Q81" s="81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"/>
      <c r="AE81" s="7"/>
      <c r="AF81" s="7"/>
    </row>
    <row r="82" ht="13.55" customHeight="1">
      <c r="A82" s="7"/>
      <c r="B82" s="7"/>
      <c r="C82" s="7"/>
      <c r="D82" s="7"/>
      <c r="E82" s="75"/>
      <c r="F82" s="75"/>
      <c r="G82" s="79"/>
      <c r="H82" s="75"/>
      <c r="I82" s="7"/>
      <c r="J82" s="75"/>
      <c r="K82" s="79"/>
      <c r="L82" s="75"/>
      <c r="M82" s="7"/>
      <c r="N82" s="75"/>
      <c r="O82" s="7"/>
      <c r="P82" s="75"/>
      <c r="Q82" s="7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"/>
      <c r="AE82" s="7"/>
      <c r="AF82" s="7"/>
    </row>
    <row r="83" ht="13.55" customHeight="1">
      <c r="A83" s="7"/>
      <c r="B83" s="7"/>
      <c r="C83" s="7"/>
      <c r="D83" s="7"/>
      <c r="E83" s="75"/>
      <c r="F83" s="75"/>
      <c r="G83" s="79"/>
      <c r="H83" s="75"/>
      <c r="I83" s="79"/>
      <c r="J83" s="75"/>
      <c r="K83" s="79"/>
      <c r="L83" s="75"/>
      <c r="M83" s="79"/>
      <c r="N83" s="75"/>
      <c r="O83" s="79"/>
      <c r="P83" s="75"/>
      <c r="Q83" s="79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"/>
      <c r="AE83" s="7"/>
      <c r="AF83" s="7"/>
    </row>
    <row r="84" ht="13.55" customHeight="1">
      <c r="A84" s="7"/>
      <c r="B84" s="7"/>
      <c r="C84" s="7"/>
      <c r="D84" s="7"/>
      <c r="E84" s="75"/>
      <c r="F84" s="75"/>
      <c r="G84" s="79"/>
      <c r="H84" s="75"/>
      <c r="I84" s="80"/>
      <c r="J84" s="75"/>
      <c r="K84" s="79"/>
      <c r="L84" s="75"/>
      <c r="M84" s="80"/>
      <c r="N84" s="75"/>
      <c r="O84" s="80"/>
      <c r="P84" s="75"/>
      <c r="Q84" s="80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"/>
      <c r="AE84" s="7"/>
      <c r="AF84" s="7"/>
    </row>
    <row r="85" ht="13.5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3.55" customHeight="1">
      <c r="A86" s="7"/>
      <c r="B86" s="7"/>
      <c r="C86" s="7"/>
      <c r="D86" s="7"/>
      <c r="E86" s="75"/>
      <c r="F86" s="75"/>
      <c r="G86" s="7"/>
      <c r="H86" s="75"/>
      <c r="I86" s="7"/>
      <c r="J86" s="75"/>
      <c r="K86" s="7"/>
      <c r="L86" s="75"/>
      <c r="M86" s="7"/>
      <c r="N86" s="75"/>
      <c r="O86" s="7"/>
      <c r="P86" s="75"/>
      <c r="Q86" s="7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"/>
      <c r="AE86" s="7"/>
      <c r="AF86" s="7"/>
    </row>
    <row r="87" ht="13.55" customHeight="1">
      <c r="A87" s="7"/>
      <c r="B87" s="7"/>
      <c r="C87" s="7"/>
      <c r="D87" s="7"/>
      <c r="E87" s="75"/>
      <c r="F87" s="75"/>
      <c r="G87" s="79"/>
      <c r="H87" s="75"/>
      <c r="I87" s="79"/>
      <c r="J87" s="75"/>
      <c r="K87" s="79"/>
      <c r="L87" s="75"/>
      <c r="M87" s="79"/>
      <c r="N87" s="75"/>
      <c r="O87" s="79"/>
      <c r="P87" s="75"/>
      <c r="Q87" s="79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"/>
      <c r="AE87" s="7"/>
      <c r="AF87" s="7"/>
    </row>
    <row r="88" ht="13.55" customHeight="1">
      <c r="A88" s="7"/>
      <c r="B88" s="7"/>
      <c r="C88" s="7"/>
      <c r="D88" s="7"/>
      <c r="E88" s="75"/>
      <c r="F88" s="75"/>
      <c r="G88" s="80"/>
      <c r="H88" s="75"/>
      <c r="I88" s="80"/>
      <c r="J88" s="75"/>
      <c r="K88" s="79"/>
      <c r="L88" s="75"/>
      <c r="M88" s="80"/>
      <c r="N88" s="75"/>
      <c r="O88" s="80"/>
      <c r="P88" s="75"/>
      <c r="Q88" s="81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"/>
      <c r="AE88" s="7"/>
      <c r="AF88" s="7"/>
    </row>
    <row r="89" ht="13.55" customHeight="1">
      <c r="A89" s="7"/>
      <c r="B89" s="7"/>
      <c r="C89" s="7"/>
      <c r="D89" s="7"/>
      <c r="E89" s="75"/>
      <c r="F89" s="75"/>
      <c r="G89" s="79"/>
      <c r="H89" s="75"/>
      <c r="I89" s="7"/>
      <c r="J89" s="75"/>
      <c r="K89" s="79"/>
      <c r="L89" s="75"/>
      <c r="M89" s="7"/>
      <c r="N89" s="75"/>
      <c r="O89" s="7"/>
      <c r="P89" s="75"/>
      <c r="Q89" s="7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"/>
      <c r="AE89" s="7"/>
      <c r="AF89" s="7"/>
    </row>
    <row r="90" ht="13.55" customHeight="1">
      <c r="A90" s="7"/>
      <c r="B90" s="7"/>
      <c r="C90" s="7"/>
      <c r="D90" s="7"/>
      <c r="E90" s="75"/>
      <c r="F90" s="75"/>
      <c r="G90" s="79"/>
      <c r="H90" s="75"/>
      <c r="I90" s="79"/>
      <c r="J90" s="75"/>
      <c r="K90" s="79"/>
      <c r="L90" s="75"/>
      <c r="M90" s="79"/>
      <c r="N90" s="75"/>
      <c r="O90" s="79"/>
      <c r="P90" s="75"/>
      <c r="Q90" s="79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"/>
      <c r="AE90" s="7"/>
      <c r="AF90" s="7"/>
    </row>
    <row r="91" ht="13.55" customHeight="1">
      <c r="A91" s="7"/>
      <c r="B91" s="7"/>
      <c r="C91" s="7"/>
      <c r="D91" s="7"/>
      <c r="E91" s="75"/>
      <c r="F91" s="75"/>
      <c r="G91" s="79"/>
      <c r="H91" s="75"/>
      <c r="I91" s="80"/>
      <c r="J91" s="75"/>
      <c r="K91" s="79"/>
      <c r="L91" s="75"/>
      <c r="M91" s="80"/>
      <c r="N91" s="75"/>
      <c r="O91" s="80"/>
      <c r="P91" s="75"/>
      <c r="Q91" s="80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"/>
      <c r="AE91" s="7"/>
      <c r="AF91" s="7"/>
    </row>
    <row r="92" ht="13.5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3.55" customHeight="1">
      <c r="A93" s="7"/>
      <c r="B93" s="7"/>
      <c r="C93" s="7"/>
      <c r="D93" s="7"/>
      <c r="E93" s="75"/>
      <c r="F93" s="75"/>
      <c r="G93" s="7"/>
      <c r="H93" s="75"/>
      <c r="I93" s="7"/>
      <c r="J93" s="75"/>
      <c r="K93" s="7"/>
      <c r="L93" s="75"/>
      <c r="M93" s="7"/>
      <c r="N93" s="75"/>
      <c r="O93" s="7"/>
      <c r="P93" s="75"/>
      <c r="Q93" s="7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"/>
      <c r="AE93" s="7"/>
      <c r="AF93" s="7"/>
    </row>
    <row r="94" ht="13.55" customHeight="1">
      <c r="A94" s="7"/>
      <c r="B94" s="7"/>
      <c r="C94" s="7"/>
      <c r="D94" s="7"/>
      <c r="E94" s="75"/>
      <c r="F94" s="75"/>
      <c r="G94" s="79"/>
      <c r="H94" s="75"/>
      <c r="I94" s="79"/>
      <c r="J94" s="75"/>
      <c r="K94" s="79"/>
      <c r="L94" s="75"/>
      <c r="M94" s="79"/>
      <c r="N94" s="75"/>
      <c r="O94" s="79"/>
      <c r="P94" s="75"/>
      <c r="Q94" s="79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"/>
      <c r="AE94" s="7"/>
      <c r="AF94" s="7"/>
    </row>
    <row r="95" ht="13.55" customHeight="1">
      <c r="A95" s="7"/>
      <c r="B95" s="7"/>
      <c r="C95" s="7"/>
      <c r="D95" s="7"/>
      <c r="E95" s="75"/>
      <c r="F95" s="75"/>
      <c r="G95" s="80"/>
      <c r="H95" s="75"/>
      <c r="I95" s="80"/>
      <c r="J95" s="75"/>
      <c r="K95" s="79"/>
      <c r="L95" s="75"/>
      <c r="M95" s="80"/>
      <c r="N95" s="75"/>
      <c r="O95" s="80"/>
      <c r="P95" s="75"/>
      <c r="Q95" s="81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"/>
      <c r="AE95" s="7"/>
      <c r="AF95" s="7"/>
    </row>
    <row r="96" ht="13.55" customHeight="1">
      <c r="A96" s="7"/>
      <c r="B96" s="7"/>
      <c r="C96" s="7"/>
      <c r="D96" s="7"/>
      <c r="E96" s="75"/>
      <c r="F96" s="75"/>
      <c r="G96" s="79"/>
      <c r="H96" s="75"/>
      <c r="I96" s="7"/>
      <c r="J96" s="75"/>
      <c r="K96" s="79"/>
      <c r="L96" s="75"/>
      <c r="M96" s="7"/>
      <c r="N96" s="75"/>
      <c r="O96" s="7"/>
      <c r="P96" s="75"/>
      <c r="Q96" s="7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"/>
      <c r="AE96" s="7"/>
      <c r="AF96" s="7"/>
    </row>
    <row r="97" ht="13.55" customHeight="1">
      <c r="A97" s="7"/>
      <c r="B97" s="7"/>
      <c r="C97" s="7"/>
      <c r="D97" s="7"/>
      <c r="E97" s="75"/>
      <c r="F97" s="75"/>
      <c r="G97" s="79"/>
      <c r="H97" s="75"/>
      <c r="I97" s="79"/>
      <c r="J97" s="75"/>
      <c r="K97" s="79"/>
      <c r="L97" s="75"/>
      <c r="M97" s="79"/>
      <c r="N97" s="75"/>
      <c r="O97" s="79"/>
      <c r="P97" s="75"/>
      <c r="Q97" s="79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"/>
      <c r="AE97" s="7"/>
      <c r="AF97" s="7"/>
    </row>
    <row r="98" ht="13.55" customHeight="1">
      <c r="A98" s="7"/>
      <c r="B98" s="7"/>
      <c r="C98" s="7"/>
      <c r="D98" s="7"/>
      <c r="E98" s="75"/>
      <c r="F98" s="75"/>
      <c r="G98" s="79"/>
      <c r="H98" s="75"/>
      <c r="I98" s="80"/>
      <c r="J98" s="75"/>
      <c r="K98" s="79"/>
      <c r="L98" s="75"/>
      <c r="M98" s="80"/>
      <c r="N98" s="75"/>
      <c r="O98" s="80"/>
      <c r="P98" s="75"/>
      <c r="Q98" s="80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"/>
      <c r="AE98" s="7"/>
      <c r="AF98" s="7"/>
    </row>
  </sheetData>
  <mergeCells count="33">
    <mergeCell ref="A52:A57"/>
    <mergeCell ref="G62:G64"/>
    <mergeCell ref="G69:G71"/>
    <mergeCell ref="A1:K1"/>
    <mergeCell ref="K6:K8"/>
    <mergeCell ref="K20:K22"/>
    <mergeCell ref="A10:A15"/>
    <mergeCell ref="A17:A22"/>
    <mergeCell ref="G59:G61"/>
    <mergeCell ref="P2:Q2"/>
    <mergeCell ref="R2:S2"/>
    <mergeCell ref="F2:G2"/>
    <mergeCell ref="H2:I2"/>
    <mergeCell ref="J2:K2"/>
    <mergeCell ref="L2:M2"/>
    <mergeCell ref="N2:O2"/>
    <mergeCell ref="A73:A78"/>
    <mergeCell ref="G76:G78"/>
    <mergeCell ref="Z2:AA2"/>
    <mergeCell ref="AB2:AC2"/>
    <mergeCell ref="T2:U2"/>
    <mergeCell ref="V2:W2"/>
    <mergeCell ref="X2:Y2"/>
    <mergeCell ref="K27:K29"/>
    <mergeCell ref="K41:K43"/>
    <mergeCell ref="K48:K50"/>
    <mergeCell ref="A38:A43"/>
    <mergeCell ref="A24:A29"/>
    <mergeCell ref="A31:A36"/>
    <mergeCell ref="A66:A71"/>
    <mergeCell ref="A59:A64"/>
    <mergeCell ref="A45:A50"/>
    <mergeCell ref="A3:A8"/>
  </mergeCells>
  <pageMargins left="0.1" right="0.12" top="0.5" bottom="0.5" header="0.3" footer="0.3"/>
  <pageSetup firstPageNumber="1" fitToHeight="1" fitToWidth="1" scale="71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F176"/>
  <sheetViews>
    <sheetView workbookViewId="0" showGridLines="0" defaultGridColor="1"/>
  </sheetViews>
  <sheetFormatPr defaultColWidth="9.16667" defaultRowHeight="15" customHeight="1" outlineLevelRow="0" outlineLevelCol="0"/>
  <cols>
    <col min="1" max="1" width="6.67188" style="82" customWidth="1"/>
    <col min="2" max="2" width="23.6719" style="82" customWidth="1"/>
    <col min="3" max="3" width="12.6719" style="82" customWidth="1"/>
    <col min="4" max="4" width="5" style="82" customWidth="1"/>
    <col min="5" max="5" width="9.35156" style="82" customWidth="1"/>
    <col min="6" max="6" width="5.35156" style="82" customWidth="1"/>
    <col min="7" max="7" width="9.17188" style="82" customWidth="1"/>
    <col min="8" max="8" width="5.5" style="82" customWidth="1"/>
    <col min="9" max="9" width="9.17188" style="82" customWidth="1"/>
    <col min="10" max="10" width="5.5" style="82" customWidth="1"/>
    <col min="11" max="11" width="8.35156" style="82" customWidth="1"/>
    <col min="12" max="12" width="5.85156" style="82" customWidth="1"/>
    <col min="13" max="13" width="8.67188" style="82" customWidth="1"/>
    <col min="14" max="14" width="5.67188" style="82" customWidth="1"/>
    <col min="15" max="15" width="8.35156" style="82" customWidth="1"/>
    <col min="16" max="16" width="6" style="82" customWidth="1"/>
    <col min="17" max="17" width="8.5" style="82" customWidth="1"/>
    <col min="18" max="18" width="6" style="82" customWidth="1"/>
    <col min="19" max="19" width="7.5" style="82" customWidth="1"/>
    <col min="20" max="20" width="5.85156" style="82" customWidth="1"/>
    <col min="21" max="21" width="7.5" style="82" customWidth="1"/>
    <col min="22" max="22" width="5.5" style="82" customWidth="1"/>
    <col min="23" max="23" width="8.85156" style="82" customWidth="1"/>
    <col min="24" max="24" width="5.67188" style="82" customWidth="1"/>
    <col min="25" max="26" width="6.85156" style="82" customWidth="1"/>
    <col min="27" max="27" width="8.35156" style="82" customWidth="1"/>
    <col min="28" max="28" width="5.5" style="82" customWidth="1"/>
    <col min="29" max="29" width="8.5" style="82" customWidth="1"/>
    <col min="30" max="30" width="12.6719" style="82" customWidth="1"/>
    <col min="31" max="31" width="14.1719" style="82" customWidth="1"/>
    <col min="32" max="32" width="9.17188" style="82" customWidth="1"/>
    <col min="33" max="16384" width="9.17188" style="82" customWidth="1"/>
  </cols>
  <sheetData>
    <row r="1" ht="23.25" customHeight="1">
      <c r="A1" t="s" s="2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6"/>
      <c r="AF1" s="7"/>
    </row>
    <row r="2" ht="13.55" customHeight="1">
      <c r="A2" t="s" s="8">
        <v>1</v>
      </c>
      <c r="B2" t="s" s="8">
        <v>2</v>
      </c>
      <c r="C2" s="9"/>
      <c r="D2" s="9"/>
      <c r="E2" s="9"/>
      <c r="F2" s="10">
        <v>46113</v>
      </c>
      <c r="G2" s="11"/>
      <c r="H2" s="10">
        <v>46143</v>
      </c>
      <c r="I2" s="11"/>
      <c r="J2" s="10">
        <v>46174</v>
      </c>
      <c r="K2" s="11"/>
      <c r="L2" s="10">
        <v>46204</v>
      </c>
      <c r="M2" s="11"/>
      <c r="N2" s="10">
        <v>46235</v>
      </c>
      <c r="O2" s="11"/>
      <c r="P2" s="10">
        <v>46266</v>
      </c>
      <c r="Q2" s="11"/>
      <c r="R2" s="10">
        <v>46296</v>
      </c>
      <c r="S2" s="11"/>
      <c r="T2" s="10">
        <v>46327</v>
      </c>
      <c r="U2" s="11"/>
      <c r="V2" s="10">
        <v>46357</v>
      </c>
      <c r="W2" s="11"/>
      <c r="X2" s="10">
        <v>46388</v>
      </c>
      <c r="Y2" s="11"/>
      <c r="Z2" s="10">
        <v>46419</v>
      </c>
      <c r="AA2" s="11"/>
      <c r="AB2" s="10">
        <v>46447</v>
      </c>
      <c r="AC2" s="11"/>
      <c r="AD2" t="s" s="12">
        <v>3</v>
      </c>
      <c r="AE2" s="13"/>
      <c r="AF2" s="7"/>
    </row>
    <row r="3" ht="13.75" customHeight="1">
      <c r="A3" s="83">
        <v>1</v>
      </c>
      <c r="B3" t="s" s="15">
        <v>59</v>
      </c>
      <c r="C3" s="9"/>
      <c r="D3" s="9"/>
      <c r="E3" t="s" s="8">
        <v>5</v>
      </c>
      <c r="F3" t="s" s="8">
        <v>6</v>
      </c>
      <c r="G3" s="16">
        <v>1141</v>
      </c>
      <c r="H3" t="s" s="8">
        <v>6</v>
      </c>
      <c r="I3" s="16">
        <v>3183</v>
      </c>
      <c r="J3" t="s" s="8">
        <v>6</v>
      </c>
      <c r="K3" s="23"/>
      <c r="L3" t="s" s="8">
        <v>6</v>
      </c>
      <c r="M3" s="23"/>
      <c r="N3" t="s" s="8">
        <v>6</v>
      </c>
      <c r="O3" s="23"/>
      <c r="P3" t="s" s="8">
        <v>6</v>
      </c>
      <c r="Q3" s="23"/>
      <c r="R3" t="s" s="8">
        <v>6</v>
      </c>
      <c r="S3" s="23"/>
      <c r="T3" t="s" s="8">
        <v>6</v>
      </c>
      <c r="U3" s="23"/>
      <c r="V3" t="s" s="8">
        <v>6</v>
      </c>
      <c r="W3" s="23"/>
      <c r="X3" t="s" s="8">
        <v>6</v>
      </c>
      <c r="Y3" s="23"/>
      <c r="Z3" t="s" s="8">
        <v>6</v>
      </c>
      <c r="AA3" s="23"/>
      <c r="AB3" t="s" s="8">
        <v>6</v>
      </c>
      <c r="AC3" s="23"/>
      <c r="AD3" s="23"/>
      <c r="AE3" s="13"/>
      <c r="AF3" s="7"/>
    </row>
    <row r="4" ht="13.55" customHeight="1">
      <c r="A4" s="84"/>
      <c r="B4" s="23"/>
      <c r="C4" s="9"/>
      <c r="D4" s="42"/>
      <c r="E4" s="9"/>
      <c r="F4" t="s" s="8">
        <v>8</v>
      </c>
      <c r="G4" s="26">
        <v>425</v>
      </c>
      <c r="H4" t="s" s="8">
        <v>8</v>
      </c>
      <c r="I4" s="26">
        <v>425</v>
      </c>
      <c r="J4" t="s" s="8">
        <v>8</v>
      </c>
      <c r="K4" s="27"/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7"/>
      <c r="Z4" t="s" s="8">
        <v>8</v>
      </c>
      <c r="AA4" s="27"/>
      <c r="AB4" t="s" s="8">
        <v>8</v>
      </c>
      <c r="AC4" s="27"/>
      <c r="AD4" s="31" cm="1">
        <f t="array" ref="AD4">G4+I4+K4+M4+O4+Q4+S4+U4+W4+Y4+AA4+AC4</f>
        <v>850</v>
      </c>
      <c r="AE4" s="50" cm="1">
        <f t="array" ref="AE4">400*12</f>
        <v>4800</v>
      </c>
      <c r="AF4" s="51" cm="1">
        <f t="array" ref="AF4">AD4-AE4</f>
        <v>-3950</v>
      </c>
    </row>
    <row r="5" ht="13.55" customHeight="1">
      <c r="A5" s="84"/>
      <c r="B5" t="s" s="54">
        <v>60</v>
      </c>
      <c r="C5" t="s" s="8">
        <v>9</v>
      </c>
      <c r="D5" s="25">
        <v>1000</v>
      </c>
      <c r="E5" s="9"/>
      <c r="F5" t="s" s="8">
        <v>10</v>
      </c>
      <c r="G5" t="s" s="33">
        <v>31</v>
      </c>
      <c r="H5" t="s" s="8">
        <v>10</v>
      </c>
      <c r="I5" t="s" s="33">
        <v>24</v>
      </c>
      <c r="J5" t="s" s="8">
        <v>10</v>
      </c>
      <c r="K5" s="34"/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s="34"/>
      <c r="Z5" t="s" s="8">
        <v>10</v>
      </c>
      <c r="AA5" s="34"/>
      <c r="AB5" t="s" s="8">
        <v>10</v>
      </c>
      <c r="AC5" s="34"/>
      <c r="AD5" s="23"/>
      <c r="AE5" s="13"/>
      <c r="AF5" s="7"/>
    </row>
    <row r="6" ht="13.75" customHeight="1">
      <c r="A6" s="84"/>
      <c r="B6" t="s" s="8">
        <v>61</v>
      </c>
      <c r="C6" s="9"/>
      <c r="D6" s="9"/>
      <c r="E6" t="s" s="8">
        <v>14</v>
      </c>
      <c r="F6" t="s" s="8">
        <v>6</v>
      </c>
      <c r="G6" s="24"/>
      <c r="H6" t="s" s="8">
        <v>6</v>
      </c>
      <c r="I6" s="18"/>
      <c r="J6" t="s" s="8">
        <v>6</v>
      </c>
      <c r="K6" s="27"/>
      <c r="L6" t="s" s="8">
        <v>6</v>
      </c>
      <c r="M6" s="23"/>
      <c r="N6" t="s" s="8">
        <v>6</v>
      </c>
      <c r="O6" s="23"/>
      <c r="P6" t="s" s="8">
        <v>6</v>
      </c>
      <c r="Q6" s="23"/>
      <c r="R6" t="s" s="8">
        <v>6</v>
      </c>
      <c r="S6" s="23"/>
      <c r="T6" t="s" s="8">
        <v>6</v>
      </c>
      <c r="U6" s="23"/>
      <c r="V6" t="s" s="8">
        <v>6</v>
      </c>
      <c r="W6" s="23"/>
      <c r="X6" t="s" s="8">
        <v>6</v>
      </c>
      <c r="Y6" s="23"/>
      <c r="Z6" t="s" s="8">
        <v>6</v>
      </c>
      <c r="AA6" s="23"/>
      <c r="AB6" t="s" s="8">
        <v>6</v>
      </c>
      <c r="AC6" s="23"/>
      <c r="AD6" s="23"/>
      <c r="AE6" s="13"/>
      <c r="AF6" s="7"/>
    </row>
    <row r="7" ht="13.55" customHeight="1">
      <c r="A7" s="84"/>
      <c r="B7" t="s" s="8">
        <v>62</v>
      </c>
      <c r="C7" s="9"/>
      <c r="D7" s="9"/>
      <c r="E7" s="9"/>
      <c r="F7" t="s" s="8">
        <v>8</v>
      </c>
      <c r="G7" s="32"/>
      <c r="H7" t="s" s="8">
        <v>8</v>
      </c>
      <c r="I7" s="27"/>
      <c r="J7" t="s" s="8">
        <v>8</v>
      </c>
      <c r="K7" s="27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7"/>
      <c r="Z7" t="s" s="8">
        <v>8</v>
      </c>
      <c r="AA7" s="27"/>
      <c r="AB7" t="s" s="8">
        <v>8</v>
      </c>
      <c r="AC7" s="27"/>
      <c r="AD7" s="31" cm="1">
        <f t="array" ref="AD7">G84+I7+K7+M7+O7+Q7+S7+U7+W7+Y7+AA7+AC7</f>
        <v>600</v>
      </c>
      <c r="AE7" s="50" cm="1">
        <f t="array" ref="AE7">500*11</f>
        <v>5500</v>
      </c>
      <c r="AF7" s="51" cm="1">
        <f t="array" ref="AF7">AE7-AD7</f>
        <v>4900</v>
      </c>
    </row>
    <row r="8" ht="13.55" customHeight="1">
      <c r="A8" s="85"/>
      <c r="B8" s="9"/>
      <c r="C8" s="9"/>
      <c r="D8" s="9"/>
      <c r="E8" s="9"/>
      <c r="F8" t="s" s="8">
        <v>10</v>
      </c>
      <c r="G8" s="44"/>
      <c r="H8" t="s" s="8">
        <v>10</v>
      </c>
      <c r="I8" s="34"/>
      <c r="J8" t="s" s="8">
        <v>10</v>
      </c>
      <c r="K8" s="27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s="34"/>
      <c r="Z8" t="s" s="8">
        <v>10</v>
      </c>
      <c r="AA8" s="34"/>
      <c r="AB8" t="s" s="8">
        <v>10</v>
      </c>
      <c r="AC8" s="34"/>
      <c r="AD8" s="23"/>
      <c r="AE8" s="13"/>
      <c r="AF8" s="7"/>
    </row>
    <row r="9" ht="13.55" customHeight="1">
      <c r="A9" s="9"/>
      <c r="B9" s="9"/>
      <c r="C9" s="9"/>
      <c r="D9" s="9"/>
      <c r="E9" s="9"/>
      <c r="F9" s="9"/>
      <c r="G9" s="27"/>
      <c r="H9" s="9"/>
      <c r="I9" s="27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23"/>
      <c r="AE9" s="13"/>
      <c r="AF9" s="7"/>
    </row>
    <row r="10" ht="13.75" customHeight="1">
      <c r="A10" s="83">
        <v>2</v>
      </c>
      <c r="B10" t="s" s="15">
        <v>63</v>
      </c>
      <c r="C10" s="9"/>
      <c r="D10" s="9"/>
      <c r="E10" t="s" s="8">
        <v>5</v>
      </c>
      <c r="F10" t="s" s="8">
        <v>6</v>
      </c>
      <c r="G10" s="16">
        <v>1088</v>
      </c>
      <c r="H10" t="s" s="8">
        <v>6</v>
      </c>
      <c r="I10" s="16">
        <v>3242</v>
      </c>
      <c r="J10" t="s" s="8">
        <v>6</v>
      </c>
      <c r="K10" s="16">
        <v>3242</v>
      </c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8"/>
      <c r="Z10" t="s" s="8">
        <v>6</v>
      </c>
      <c r="AA10" s="18"/>
      <c r="AB10" t="s" s="8">
        <v>6</v>
      </c>
      <c r="AC10" s="18"/>
      <c r="AD10" s="23"/>
      <c r="AE10" s="13"/>
      <c r="AF10" s="7"/>
    </row>
    <row r="11" ht="13.55" customHeight="1">
      <c r="A11" s="84"/>
      <c r="B11" s="23"/>
      <c r="C11" s="9"/>
      <c r="D11" s="42"/>
      <c r="E11" s="9"/>
      <c r="F11" t="s" s="8">
        <v>8</v>
      </c>
      <c r="G11" s="26">
        <v>425</v>
      </c>
      <c r="H11" t="s" s="8">
        <v>8</v>
      </c>
      <c r="I11" s="26">
        <v>425</v>
      </c>
      <c r="J11" t="s" s="8">
        <v>8</v>
      </c>
      <c r="K11" s="26">
        <v>425</v>
      </c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8">
        <v>8</v>
      </c>
      <c r="AA11" s="27"/>
      <c r="AB11" t="s" s="8">
        <v>8</v>
      </c>
      <c r="AC11" s="27"/>
      <c r="AD11" s="31" cm="1">
        <f t="array" ref="AD11">G11+I11+K11+M11+O11+Q11+S11+U11+W11+Y11+AA11+AC11</f>
        <v>1275</v>
      </c>
      <c r="AE11" s="50" cm="1">
        <f t="array" ref="AE11">400*12</f>
        <v>4800</v>
      </c>
      <c r="AF11" s="51" cm="1">
        <f t="array" ref="AF11">AE11-AD11</f>
        <v>3525</v>
      </c>
    </row>
    <row r="12" ht="13.55" customHeight="1">
      <c r="A12" s="84"/>
      <c r="B12" t="s" s="54">
        <v>60</v>
      </c>
      <c r="C12" t="s" s="8">
        <v>9</v>
      </c>
      <c r="D12" s="25">
        <v>1000</v>
      </c>
      <c r="E12" s="9"/>
      <c r="F12" t="s" s="8">
        <v>10</v>
      </c>
      <c r="G12" t="s" s="33">
        <v>17</v>
      </c>
      <c r="H12" t="s" s="8">
        <v>10</v>
      </c>
      <c r="I12" t="s" s="33">
        <v>64</v>
      </c>
      <c r="J12" t="s" s="8">
        <v>10</v>
      </c>
      <c r="K12" t="s" s="33">
        <v>64</v>
      </c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8">
        <v>10</v>
      </c>
      <c r="AA12" s="34"/>
      <c r="AB12" t="s" s="8">
        <v>10</v>
      </c>
      <c r="AC12" s="34"/>
      <c r="AD12" s="23"/>
      <c r="AE12" s="13"/>
      <c r="AF12" s="7"/>
    </row>
    <row r="13" ht="13.75" customHeight="1">
      <c r="A13" s="84"/>
      <c r="B13" t="s" s="8">
        <v>65</v>
      </c>
      <c r="C13" s="9"/>
      <c r="D13" s="9"/>
      <c r="E13" t="s" s="8">
        <v>14</v>
      </c>
      <c r="F13" t="s" s="8">
        <v>6</v>
      </c>
      <c r="G13" s="16">
        <v>2026</v>
      </c>
      <c r="H13" t="s" s="8">
        <v>6</v>
      </c>
      <c r="I13" s="16">
        <v>2208</v>
      </c>
      <c r="J13" t="s" s="8">
        <v>6</v>
      </c>
      <c r="K13" s="40"/>
      <c r="L13" t="s" s="8">
        <v>6</v>
      </c>
      <c r="M13" s="18"/>
      <c r="N13" t="s" s="8">
        <v>6</v>
      </c>
      <c r="O13" s="18"/>
      <c r="P13" t="s" s="8">
        <v>6</v>
      </c>
      <c r="Q13" s="18"/>
      <c r="R13" t="s" s="8">
        <v>6</v>
      </c>
      <c r="S13" s="18"/>
      <c r="T13" t="s" s="8">
        <v>6</v>
      </c>
      <c r="U13" s="18"/>
      <c r="V13" t="s" s="8">
        <v>6</v>
      </c>
      <c r="W13" s="18"/>
      <c r="X13" t="s" s="8">
        <v>6</v>
      </c>
      <c r="Y13" s="18"/>
      <c r="Z13" t="s" s="8">
        <v>6</v>
      </c>
      <c r="AA13" s="18"/>
      <c r="AB13" t="s" s="8">
        <v>6</v>
      </c>
      <c r="AC13" s="18"/>
      <c r="AD13" s="23"/>
      <c r="AE13" s="13"/>
      <c r="AF13" s="7"/>
    </row>
    <row r="14" ht="13.55" customHeight="1">
      <c r="A14" s="84"/>
      <c r="B14" t="s" s="8">
        <v>66</v>
      </c>
      <c r="C14" s="9"/>
      <c r="D14" s="9"/>
      <c r="E14" s="9"/>
      <c r="F14" t="s" s="8">
        <v>8</v>
      </c>
      <c r="G14" s="26">
        <v>600</v>
      </c>
      <c r="H14" t="s" s="8">
        <v>8</v>
      </c>
      <c r="I14" s="26">
        <v>600</v>
      </c>
      <c r="J14" t="s" s="8">
        <v>8</v>
      </c>
      <c r="K14" s="41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8">
        <v>8</v>
      </c>
      <c r="Y14" s="27"/>
      <c r="Z14" t="s" s="8">
        <v>8</v>
      </c>
      <c r="AA14" s="27"/>
      <c r="AB14" t="s" s="8">
        <v>8</v>
      </c>
      <c r="AC14" s="27"/>
      <c r="AD14" s="23" cm="1">
        <f t="array" ref="AD14">G14+I14+K14+M14+O14+Q14+S14+U14+W14+Y14+AA14+AC14</f>
      </c>
      <c r="AE14" s="50" cm="1">
        <f t="array" ref="AE14">500*11</f>
        <v>5500</v>
      </c>
      <c r="AF14" s="7" cm="1">
        <f t="array" ref="AF14">AE14-AD14</f>
      </c>
    </row>
    <row r="15" ht="13.55" customHeight="1">
      <c r="A15" s="85"/>
      <c r="B15" s="9"/>
      <c r="C15" s="9"/>
      <c r="D15" s="9"/>
      <c r="E15" s="9"/>
      <c r="F15" t="s" s="8">
        <v>10</v>
      </c>
      <c r="G15" t="s" s="33">
        <v>20</v>
      </c>
      <c r="H15" t="s" s="8">
        <v>10</v>
      </c>
      <c r="I15" t="s" s="33">
        <v>64</v>
      </c>
      <c r="J15" t="s" s="8">
        <v>10</v>
      </c>
      <c r="K15" s="45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8">
        <v>10</v>
      </c>
      <c r="Y15" s="34"/>
      <c r="Z15" t="s" s="8">
        <v>10</v>
      </c>
      <c r="AA15" s="34"/>
      <c r="AB15" t="s" s="8">
        <v>10</v>
      </c>
      <c r="AC15" s="34"/>
      <c r="AD15" s="23"/>
      <c r="AE15" s="13"/>
      <c r="AF15" s="7"/>
    </row>
    <row r="16" ht="13.55" customHeight="1">
      <c r="A16" s="9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23"/>
      <c r="AE16" s="13"/>
      <c r="AF16" s="7"/>
    </row>
    <row r="17" ht="13.75" customHeight="1">
      <c r="A17" s="83">
        <v>3</v>
      </c>
      <c r="B17" t="s" s="15">
        <v>67</v>
      </c>
      <c r="C17" s="9"/>
      <c r="D17" s="9"/>
      <c r="E17" t="s" s="8">
        <v>5</v>
      </c>
      <c r="F17" t="s" s="8">
        <v>6</v>
      </c>
      <c r="G17" s="16">
        <v>1153</v>
      </c>
      <c r="H17" t="s" s="8">
        <v>6</v>
      </c>
      <c r="I17" s="16">
        <v>1153</v>
      </c>
      <c r="J17" t="s" s="8">
        <v>6</v>
      </c>
      <c r="K17" s="18"/>
      <c r="L17" t="s" s="8">
        <v>6</v>
      </c>
      <c r="M17" s="9"/>
      <c r="N17" t="s" s="8">
        <v>6</v>
      </c>
      <c r="O17" s="9"/>
      <c r="P17" t="s" s="8">
        <v>6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23"/>
      <c r="AE17" s="13"/>
      <c r="AF17" s="7"/>
    </row>
    <row r="18" ht="13.55" customHeight="1">
      <c r="A18" s="84"/>
      <c r="B18" t="s" s="86">
        <v>68</v>
      </c>
      <c r="C18" t="s" s="8">
        <v>7</v>
      </c>
      <c r="D18" s="25">
        <v>1000</v>
      </c>
      <c r="E18" s="9"/>
      <c r="F18" t="s" s="8">
        <v>8</v>
      </c>
      <c r="G18" s="26">
        <v>425</v>
      </c>
      <c r="H18" t="s" s="8">
        <v>8</v>
      </c>
      <c r="I18" s="26">
        <v>425</v>
      </c>
      <c r="J18" t="s" s="8">
        <v>8</v>
      </c>
      <c r="K18" s="27"/>
      <c r="L18" t="s" s="8">
        <v>8</v>
      </c>
      <c r="M18" s="9"/>
      <c r="N18" t="s" s="8">
        <v>8</v>
      </c>
      <c r="O18" s="9"/>
      <c r="P18" t="s" s="8">
        <v>8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23"/>
      <c r="AE18" s="13"/>
      <c r="AF18" s="7"/>
    </row>
    <row r="19" ht="13.75" customHeight="1">
      <c r="A19" s="84"/>
      <c r="B19" t="s" s="87">
        <v>69</v>
      </c>
      <c r="C19" t="s" s="8">
        <v>9</v>
      </c>
      <c r="D19" s="25">
        <v>1000</v>
      </c>
      <c r="E19" s="9"/>
      <c r="F19" t="s" s="8">
        <v>10</v>
      </c>
      <c r="G19" t="s" s="33">
        <v>70</v>
      </c>
      <c r="H19" t="s" s="8">
        <v>10</v>
      </c>
      <c r="I19" t="s" s="33">
        <v>70</v>
      </c>
      <c r="J19" t="s" s="8">
        <v>10</v>
      </c>
      <c r="K19" s="34"/>
      <c r="L19" t="s" s="8">
        <v>10</v>
      </c>
      <c r="M19" s="9"/>
      <c r="N19" t="s" s="8">
        <v>10</v>
      </c>
      <c r="O19" s="9"/>
      <c r="P19" t="s" s="8">
        <v>10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23"/>
      <c r="AE19" s="13"/>
      <c r="AF19" s="7"/>
    </row>
    <row r="20" ht="13.75" customHeight="1">
      <c r="A20" s="84"/>
      <c r="B20" t="s" s="8">
        <v>71</v>
      </c>
      <c r="C20" s="9"/>
      <c r="D20" s="9"/>
      <c r="E20" t="s" s="8">
        <v>14</v>
      </c>
      <c r="F20" t="s" s="8">
        <v>6</v>
      </c>
      <c r="G20" s="18"/>
      <c r="H20" t="s" s="8">
        <v>6</v>
      </c>
      <c r="I20" s="18"/>
      <c r="J20" t="s" s="8">
        <v>6</v>
      </c>
      <c r="K20" s="40"/>
      <c r="L20" t="s" s="8">
        <v>6</v>
      </c>
      <c r="M20" s="9"/>
      <c r="N20" t="s" s="8">
        <v>6</v>
      </c>
      <c r="O20" s="9"/>
      <c r="P20" t="s" s="8">
        <v>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23"/>
      <c r="AE20" s="13"/>
      <c r="AF20" s="7"/>
    </row>
    <row r="21" ht="13.55" customHeight="1">
      <c r="A21" s="84"/>
      <c r="B21" t="s" s="8">
        <v>72</v>
      </c>
      <c r="C21" s="9"/>
      <c r="D21" s="9"/>
      <c r="E21" s="9"/>
      <c r="F21" t="s" s="8">
        <v>8</v>
      </c>
      <c r="G21" s="27"/>
      <c r="H21" t="s" s="8">
        <v>8</v>
      </c>
      <c r="I21" s="27"/>
      <c r="J21" t="s" s="8">
        <v>8</v>
      </c>
      <c r="K21" s="41"/>
      <c r="L21" t="s" s="8">
        <v>8</v>
      </c>
      <c r="M21" s="9"/>
      <c r="N21" t="s" s="8">
        <v>8</v>
      </c>
      <c r="O21" s="9"/>
      <c r="P21" t="s" s="8">
        <v>8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23"/>
      <c r="AE21" s="13"/>
      <c r="AF21" s="7"/>
    </row>
    <row r="22" ht="13.55" customHeight="1">
      <c r="A22" s="85"/>
      <c r="B22" s="9"/>
      <c r="C22" s="9"/>
      <c r="D22" s="9"/>
      <c r="E22" s="9"/>
      <c r="F22" t="s" s="8">
        <v>10</v>
      </c>
      <c r="G22" s="34"/>
      <c r="H22" t="s" s="8">
        <v>10</v>
      </c>
      <c r="I22" s="34"/>
      <c r="J22" t="s" s="8">
        <v>10</v>
      </c>
      <c r="K22" s="45"/>
      <c r="L22" t="s" s="8">
        <v>10</v>
      </c>
      <c r="M22" s="9"/>
      <c r="N22" t="s" s="8">
        <v>10</v>
      </c>
      <c r="O22" s="9"/>
      <c r="P22" t="s" s="8">
        <v>10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23"/>
      <c r="AE22" s="13"/>
      <c r="AF22" s="7"/>
    </row>
    <row r="23" ht="13.55" customHeight="1">
      <c r="A23" s="9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23"/>
      <c r="AE23" s="13"/>
      <c r="AF23" s="7"/>
    </row>
    <row r="24" ht="13.75" customHeight="1">
      <c r="A24" s="83">
        <v>4</v>
      </c>
      <c r="B24" t="s" s="15">
        <v>73</v>
      </c>
      <c r="C24" s="9"/>
      <c r="D24" s="9"/>
      <c r="E24" t="s" s="8">
        <v>5</v>
      </c>
      <c r="F24" t="s" s="8">
        <v>6</v>
      </c>
      <c r="G24" s="16">
        <v>1199</v>
      </c>
      <c r="H24" t="s" s="8">
        <v>6</v>
      </c>
      <c r="I24" s="16">
        <v>1199</v>
      </c>
      <c r="J24" t="s" s="8">
        <v>6</v>
      </c>
      <c r="K24" s="18"/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8">
        <v>6</v>
      </c>
      <c r="Y24" s="18"/>
      <c r="Z24" t="s" s="8">
        <v>6</v>
      </c>
      <c r="AA24" s="18"/>
      <c r="AB24" t="s" s="8">
        <v>6</v>
      </c>
      <c r="AC24" s="18"/>
      <c r="AD24" s="23"/>
      <c r="AE24" s="13"/>
      <c r="AF24" s="7"/>
    </row>
    <row r="25" ht="13.55" customHeight="1">
      <c r="A25" s="84"/>
      <c r="B25" s="24"/>
      <c r="C25" s="9"/>
      <c r="D25" s="42"/>
      <c r="E25" s="9"/>
      <c r="F25" t="s" s="8">
        <v>8</v>
      </c>
      <c r="G25" s="26">
        <v>425</v>
      </c>
      <c r="H25" t="s" s="8">
        <v>8</v>
      </c>
      <c r="I25" s="26">
        <v>425</v>
      </c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7"/>
      <c r="Z25" t="s" s="8">
        <v>8</v>
      </c>
      <c r="AA25" s="27"/>
      <c r="AB25" t="s" s="8">
        <v>8</v>
      </c>
      <c r="AC25" s="27"/>
      <c r="AD25" s="31" cm="1">
        <f t="array" ref="AD25">G25+I25+K25+M25+O25+Q25+S25+U25+W25+Y25+AA25+AC25</f>
        <v>850</v>
      </c>
      <c r="AE25" s="50" cm="1">
        <f t="array" ref="AE25">400*12</f>
        <v>4800</v>
      </c>
      <c r="AF25" s="51" cm="1">
        <f t="array" ref="AF25">AE25-AD25</f>
        <v>3950</v>
      </c>
    </row>
    <row r="26" ht="13.75" customHeight="1">
      <c r="A26" s="84"/>
      <c r="B26" t="s" s="88">
        <v>69</v>
      </c>
      <c r="C26" t="s" s="8">
        <v>9</v>
      </c>
      <c r="D26" s="25">
        <v>1000</v>
      </c>
      <c r="E26" s="9"/>
      <c r="F26" t="s" s="8">
        <v>10</v>
      </c>
      <c r="G26" t="s" s="33">
        <v>74</v>
      </c>
      <c r="H26" t="s" s="8">
        <v>10</v>
      </c>
      <c r="I26" t="s" s="33">
        <v>74</v>
      </c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s="34"/>
      <c r="Z26" t="s" s="8">
        <v>10</v>
      </c>
      <c r="AA26" s="34"/>
      <c r="AB26" t="s" s="8">
        <v>10</v>
      </c>
      <c r="AC26" s="34"/>
      <c r="AD26" s="23"/>
      <c r="AE26" s="13"/>
      <c r="AF26" s="7"/>
    </row>
    <row r="27" ht="13.75" customHeight="1">
      <c r="A27" s="84"/>
      <c r="B27" t="s" s="8">
        <v>75</v>
      </c>
      <c r="C27" s="9"/>
      <c r="D27" s="9"/>
      <c r="E27" t="s" s="8">
        <v>14</v>
      </c>
      <c r="F27" t="s" s="8">
        <v>6</v>
      </c>
      <c r="G27" s="16">
        <v>2107</v>
      </c>
      <c r="H27" t="s" s="8">
        <v>6</v>
      </c>
      <c r="I27" s="16">
        <v>2107</v>
      </c>
      <c r="J27" t="s" s="8">
        <v>6</v>
      </c>
      <c r="K27" s="40"/>
      <c r="L27" t="s" s="8">
        <v>6</v>
      </c>
      <c r="M27" s="18"/>
      <c r="N27" t="s" s="8">
        <v>6</v>
      </c>
      <c r="O27" s="18"/>
      <c r="P27" t="s" s="8">
        <v>6</v>
      </c>
      <c r="Q27" s="18"/>
      <c r="R27" t="s" s="8">
        <v>6</v>
      </c>
      <c r="S27" s="18"/>
      <c r="T27" t="s" s="8">
        <v>6</v>
      </c>
      <c r="U27" s="18"/>
      <c r="V27" t="s" s="8">
        <v>6</v>
      </c>
      <c r="W27" s="18"/>
      <c r="X27" t="s" s="8">
        <v>6</v>
      </c>
      <c r="Y27" s="18"/>
      <c r="Z27" t="s" s="8">
        <v>6</v>
      </c>
      <c r="AA27" s="18"/>
      <c r="AB27" t="s" s="8">
        <v>6</v>
      </c>
      <c r="AC27" s="18"/>
      <c r="AD27" s="23"/>
      <c r="AE27" s="13"/>
      <c r="AF27" s="7"/>
    </row>
    <row r="28" ht="13.55" customHeight="1">
      <c r="A28" s="84"/>
      <c r="B28" t="s" s="8">
        <v>76</v>
      </c>
      <c r="C28" s="9"/>
      <c r="D28" s="9"/>
      <c r="E28" s="9"/>
      <c r="F28" t="s" s="8">
        <v>8</v>
      </c>
      <c r="G28" s="26">
        <v>600</v>
      </c>
      <c r="H28" t="s" s="8">
        <v>8</v>
      </c>
      <c r="I28" s="26">
        <v>600</v>
      </c>
      <c r="J28" t="s" s="8">
        <v>8</v>
      </c>
      <c r="K28" s="41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8">
        <v>8</v>
      </c>
      <c r="Y28" s="27"/>
      <c r="Z28" t="s" s="8">
        <v>8</v>
      </c>
      <c r="AA28" s="27"/>
      <c r="AB28" t="s" s="8">
        <v>8</v>
      </c>
      <c r="AC28" s="27"/>
      <c r="AD28" s="23" cm="1">
        <f t="array" ref="AD28">G28+I28+K28+M28+O28+Q28+S28+U28+W28+Y28+AA28+AC28</f>
      </c>
      <c r="AE28" s="50" cm="1">
        <f t="array" ref="AE28">500*11</f>
        <v>5500</v>
      </c>
      <c r="AF28" s="7" cm="1">
        <f t="array" ref="AF28">AE28-AD28</f>
      </c>
    </row>
    <row r="29" ht="13.55" customHeight="1">
      <c r="A29" s="85"/>
      <c r="B29" s="9"/>
      <c r="C29" s="9"/>
      <c r="D29" s="9"/>
      <c r="E29" s="9"/>
      <c r="F29" t="s" s="8">
        <v>10</v>
      </c>
      <c r="G29" t="s" s="33">
        <v>74</v>
      </c>
      <c r="H29" t="s" s="8">
        <v>10</v>
      </c>
      <c r="I29" t="s" s="33">
        <v>74</v>
      </c>
      <c r="J29" t="s" s="8">
        <v>10</v>
      </c>
      <c r="K29" s="45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8">
        <v>10</v>
      </c>
      <c r="Y29" s="34"/>
      <c r="Z29" t="s" s="8">
        <v>10</v>
      </c>
      <c r="AA29" s="34"/>
      <c r="AB29" t="s" s="8">
        <v>10</v>
      </c>
      <c r="AC29" s="34"/>
      <c r="AD29" s="23"/>
      <c r="AE29" s="13"/>
      <c r="AF29" s="7"/>
    </row>
    <row r="30" ht="13.55" customHeight="1">
      <c r="A30" s="9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23"/>
      <c r="AE30" s="13"/>
      <c r="AF30" s="7"/>
    </row>
    <row r="31" ht="13.75" customHeight="1">
      <c r="A31" s="83">
        <v>5</v>
      </c>
      <c r="B31" t="s" s="15">
        <v>77</v>
      </c>
      <c r="C31" s="9"/>
      <c r="D31" s="9"/>
      <c r="E31" t="s" s="8">
        <v>5</v>
      </c>
      <c r="F31" t="s" s="8">
        <v>6</v>
      </c>
      <c r="G31" s="16">
        <v>1194</v>
      </c>
      <c r="H31" t="s" s="8">
        <v>6</v>
      </c>
      <c r="I31" s="16">
        <v>1194</v>
      </c>
      <c r="J31" t="s" s="8">
        <v>6</v>
      </c>
      <c r="K31" s="16">
        <v>1194</v>
      </c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8">
        <v>6</v>
      </c>
      <c r="AA31" s="18"/>
      <c r="AB31" t="s" s="8">
        <v>6</v>
      </c>
      <c r="AC31" s="18"/>
      <c r="AD31" s="23"/>
      <c r="AE31" s="13"/>
      <c r="AF31" s="7"/>
    </row>
    <row r="32" ht="13.55" customHeight="1">
      <c r="A32" s="84"/>
      <c r="B32" s="9"/>
      <c r="C32" s="9"/>
      <c r="D32" s="42"/>
      <c r="E32" s="9"/>
      <c r="F32" t="s" s="8">
        <v>8</v>
      </c>
      <c r="G32" s="26">
        <v>850</v>
      </c>
      <c r="H32" t="s" s="8">
        <v>8</v>
      </c>
      <c r="I32" s="26">
        <v>850</v>
      </c>
      <c r="J32" t="s" s="8">
        <v>8</v>
      </c>
      <c r="K32" s="26">
        <v>850</v>
      </c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8">
        <v>8</v>
      </c>
      <c r="AA32" s="27"/>
      <c r="AB32" t="s" s="8">
        <v>8</v>
      </c>
      <c r="AC32" s="27"/>
      <c r="AD32" s="31" cm="1">
        <f t="array" ref="AD32">G32+I32+K32+M32+O32+Q32+S32+U32+W32+Y32+AA32+AC32</f>
        <v>2550</v>
      </c>
      <c r="AE32" s="50" cm="1">
        <f t="array" ref="AE32">800*12</f>
        <v>9600</v>
      </c>
      <c r="AF32" s="51" cm="1">
        <f t="array" ref="AF32">AE32-AD32</f>
        <v>7050</v>
      </c>
    </row>
    <row r="33" ht="13.55" customHeight="1">
      <c r="A33" s="84"/>
      <c r="B33" s="23"/>
      <c r="C33" t="s" s="8">
        <v>9</v>
      </c>
      <c r="D33" s="25">
        <v>1000</v>
      </c>
      <c r="E33" s="9"/>
      <c r="F33" t="s" s="8">
        <v>10</v>
      </c>
      <c r="G33" t="s" s="33">
        <v>74</v>
      </c>
      <c r="H33" t="s" s="8">
        <v>10</v>
      </c>
      <c r="I33" t="s" s="33">
        <v>74</v>
      </c>
      <c r="J33" t="s" s="8">
        <v>10</v>
      </c>
      <c r="K33" t="s" s="33">
        <v>74</v>
      </c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8">
        <v>10</v>
      </c>
      <c r="AA33" s="34"/>
      <c r="AB33" t="s" s="8">
        <v>10</v>
      </c>
      <c r="AC33" s="34"/>
      <c r="AD33" s="23"/>
      <c r="AE33" s="13"/>
      <c r="AF33" s="7"/>
    </row>
    <row r="34" ht="13.75" customHeight="1">
      <c r="A34" s="84"/>
      <c r="B34" t="s" s="8">
        <v>78</v>
      </c>
      <c r="C34" s="9"/>
      <c r="D34" s="9"/>
      <c r="E34" t="s" s="8">
        <v>14</v>
      </c>
      <c r="F34" t="s" s="8">
        <v>6</v>
      </c>
      <c r="G34" s="16">
        <v>2105</v>
      </c>
      <c r="H34" t="s" s="8">
        <v>6</v>
      </c>
      <c r="I34" s="16">
        <v>2105</v>
      </c>
      <c r="J34" t="s" s="8">
        <v>6</v>
      </c>
      <c r="K34" s="27"/>
      <c r="L34" t="s" s="8">
        <v>6</v>
      </c>
      <c r="M34" s="18"/>
      <c r="N34" t="s" s="8">
        <v>6</v>
      </c>
      <c r="O34" s="18"/>
      <c r="P34" t="s" s="8">
        <v>6</v>
      </c>
      <c r="Q34" s="18"/>
      <c r="R34" t="s" s="8">
        <v>6</v>
      </c>
      <c r="S34" s="18"/>
      <c r="T34" t="s" s="8">
        <v>6</v>
      </c>
      <c r="U34" s="18"/>
      <c r="V34" t="s" s="8">
        <v>6</v>
      </c>
      <c r="W34" s="18"/>
      <c r="X34" t="s" s="8">
        <v>6</v>
      </c>
      <c r="Y34" s="18"/>
      <c r="Z34" t="s" s="8">
        <v>6</v>
      </c>
      <c r="AA34" s="18"/>
      <c r="AB34" t="s" s="8">
        <v>6</v>
      </c>
      <c r="AC34" s="18"/>
      <c r="AD34" s="23"/>
      <c r="AE34" s="13"/>
      <c r="AF34" s="7"/>
    </row>
    <row r="35" ht="13.55" customHeight="1">
      <c r="A35" s="84"/>
      <c r="B35" t="s" s="8">
        <v>79</v>
      </c>
      <c r="C35" s="9"/>
      <c r="D35" s="9"/>
      <c r="E35" s="9"/>
      <c r="F35" t="s" s="8">
        <v>8</v>
      </c>
      <c r="G35" s="26">
        <v>600</v>
      </c>
      <c r="H35" t="s" s="8">
        <v>8</v>
      </c>
      <c r="I35" s="26">
        <v>600</v>
      </c>
      <c r="J35" t="s" s="8">
        <v>8</v>
      </c>
      <c r="K35" s="27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27"/>
      <c r="T35" t="s" s="8">
        <v>8</v>
      </c>
      <c r="U35" s="27"/>
      <c r="V35" t="s" s="8">
        <v>8</v>
      </c>
      <c r="W35" s="27"/>
      <c r="X35" t="s" s="8">
        <v>8</v>
      </c>
      <c r="Y35" s="27"/>
      <c r="Z35" t="s" s="8">
        <v>8</v>
      </c>
      <c r="AA35" s="27"/>
      <c r="AB35" t="s" s="8">
        <v>8</v>
      </c>
      <c r="AC35" s="27"/>
      <c r="AD35" s="31" cm="1">
        <f t="array" ref="AD35">G35+I35+K35+M35+O35+Q35+S35+U35+W35+Y35+AA35+AC35</f>
        <v>1200</v>
      </c>
      <c r="AE35" s="50" cm="1">
        <f t="array" ref="AE35">500*11</f>
        <v>5500</v>
      </c>
      <c r="AF35" s="51" cm="1">
        <f t="array" ref="AF35">AE35-AD35</f>
        <v>4300</v>
      </c>
    </row>
    <row r="36" ht="13.55" customHeight="1">
      <c r="A36" s="85"/>
      <c r="B36" s="9"/>
      <c r="C36" s="9"/>
      <c r="D36" s="9"/>
      <c r="E36" s="9"/>
      <c r="F36" t="s" s="8">
        <v>10</v>
      </c>
      <c r="G36" t="s" s="33">
        <v>74</v>
      </c>
      <c r="H36" t="s" s="8">
        <v>10</v>
      </c>
      <c r="I36" t="s" s="33">
        <v>74</v>
      </c>
      <c r="J36" t="s" s="8">
        <v>10</v>
      </c>
      <c r="K36" s="27"/>
      <c r="L36" t="s" s="8">
        <v>10</v>
      </c>
      <c r="M36" s="34"/>
      <c r="N36" t="s" s="8">
        <v>10</v>
      </c>
      <c r="O36" s="34"/>
      <c r="P36" t="s" s="8">
        <v>10</v>
      </c>
      <c r="Q36" s="34"/>
      <c r="R36" t="s" s="8">
        <v>10</v>
      </c>
      <c r="S36" s="34"/>
      <c r="T36" t="s" s="8">
        <v>10</v>
      </c>
      <c r="U36" s="34"/>
      <c r="V36" t="s" s="8">
        <v>10</v>
      </c>
      <c r="W36" s="34"/>
      <c r="X36" t="s" s="8">
        <v>10</v>
      </c>
      <c r="Y36" s="34"/>
      <c r="Z36" t="s" s="8">
        <v>10</v>
      </c>
      <c r="AA36" s="34"/>
      <c r="AB36" t="s" s="8">
        <v>10</v>
      </c>
      <c r="AC36" s="34"/>
      <c r="AD36" s="23"/>
      <c r="AE36" s="13"/>
      <c r="AF36" s="7"/>
    </row>
    <row r="37" ht="13.55" customHeight="1">
      <c r="A37" s="9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23"/>
      <c r="AE37" s="13"/>
      <c r="AF37" s="7"/>
    </row>
    <row r="38" ht="13.75" customHeight="1">
      <c r="A38" s="83">
        <v>6</v>
      </c>
      <c r="B38" t="s" s="15">
        <v>80</v>
      </c>
      <c r="C38" s="9"/>
      <c r="D38" s="9"/>
      <c r="E38" t="s" s="8">
        <v>5</v>
      </c>
      <c r="F38" t="s" s="8">
        <v>6</v>
      </c>
      <c r="G38" s="31">
        <v>1150</v>
      </c>
      <c r="H38" t="s" s="8">
        <v>6</v>
      </c>
      <c r="I38" s="18"/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8"/>
      <c r="Z38" t="s" s="8">
        <v>6</v>
      </c>
      <c r="AA38" s="18"/>
      <c r="AB38" t="s" s="8">
        <v>6</v>
      </c>
      <c r="AC38" s="18"/>
      <c r="AD38" s="23"/>
      <c r="AE38" s="13"/>
      <c r="AF38" s="7"/>
    </row>
    <row r="39" ht="13.55" customHeight="1">
      <c r="A39" s="84"/>
      <c r="B39" s="9"/>
      <c r="C39" s="9"/>
      <c r="D39" s="42"/>
      <c r="E39" s="9"/>
      <c r="F39" t="s" s="8">
        <v>8</v>
      </c>
      <c r="G39" s="25">
        <v>850</v>
      </c>
      <c r="H39" t="s" s="8">
        <v>8</v>
      </c>
      <c r="I39" s="27"/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8">
        <v>8</v>
      </c>
      <c r="AA39" s="27"/>
      <c r="AB39" t="s" s="8">
        <v>8</v>
      </c>
      <c r="AC39" s="27"/>
      <c r="AD39" s="31" cm="1">
        <f t="array" ref="AD39">G39+I39+K39+M39+O39+Q39+S39+U39+W39+Y39+AA39+AC39</f>
        <v>850</v>
      </c>
      <c r="AE39" s="50" cm="1">
        <f t="array" ref="AE39">800*11</f>
        <v>8800</v>
      </c>
      <c r="AF39" s="51" cm="1">
        <f t="array" ref="AF39">AE39-AD39</f>
        <v>7950</v>
      </c>
    </row>
    <row r="40" ht="13.55" customHeight="1">
      <c r="A40" s="84"/>
      <c r="B40" s="23"/>
      <c r="C40" t="s" s="8">
        <v>9</v>
      </c>
      <c r="D40" s="25">
        <v>1000</v>
      </c>
      <c r="E40" s="9"/>
      <c r="F40" t="s" s="8">
        <v>10</v>
      </c>
      <c r="G40" t="s" s="33">
        <v>81</v>
      </c>
      <c r="H40" t="s" s="8">
        <v>10</v>
      </c>
      <c r="I40" s="34"/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8">
        <v>10</v>
      </c>
      <c r="AA40" s="34"/>
      <c r="AB40" t="s" s="8">
        <v>10</v>
      </c>
      <c r="AC40" s="34"/>
      <c r="AD40" s="23"/>
      <c r="AE40" s="13"/>
      <c r="AF40" s="7"/>
    </row>
    <row r="41" ht="13.75" customHeight="1">
      <c r="A41" s="84"/>
      <c r="B41" t="s" s="8">
        <v>82</v>
      </c>
      <c r="C41" s="9"/>
      <c r="D41" s="9"/>
      <c r="E41" t="s" s="8">
        <v>14</v>
      </c>
      <c r="F41" t="s" s="8">
        <v>6</v>
      </c>
      <c r="G41" s="31">
        <v>2069</v>
      </c>
      <c r="H41" t="s" s="8">
        <v>6</v>
      </c>
      <c r="I41" s="18"/>
      <c r="J41" t="s" s="8">
        <v>6</v>
      </c>
      <c r="K41" s="40"/>
      <c r="L41" t="s" s="8">
        <v>6</v>
      </c>
      <c r="M41" s="18"/>
      <c r="N41" t="s" s="8">
        <v>6</v>
      </c>
      <c r="O41" s="18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8">
        <v>6</v>
      </c>
      <c r="Y41" s="18"/>
      <c r="Z41" t="s" s="8">
        <v>6</v>
      </c>
      <c r="AA41" s="18"/>
      <c r="AB41" t="s" s="8">
        <v>6</v>
      </c>
      <c r="AC41" s="18"/>
      <c r="AD41" s="23"/>
      <c r="AE41" s="13"/>
      <c r="AF41" s="7"/>
    </row>
    <row r="42" ht="13.55" customHeight="1">
      <c r="A42" s="84"/>
      <c r="B42" t="s" s="8">
        <v>83</v>
      </c>
      <c r="C42" s="9"/>
      <c r="D42" s="9"/>
      <c r="E42" s="9"/>
      <c r="F42" t="s" s="8">
        <v>8</v>
      </c>
      <c r="G42" s="25">
        <v>800</v>
      </c>
      <c r="H42" t="s" s="8">
        <v>8</v>
      </c>
      <c r="I42" s="27"/>
      <c r="J42" t="s" s="8">
        <v>8</v>
      </c>
      <c r="K42" s="41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8">
        <v>8</v>
      </c>
      <c r="AA42" s="27"/>
      <c r="AB42" t="s" s="8">
        <v>8</v>
      </c>
      <c r="AC42" s="27"/>
      <c r="AD42" s="23" cm="1">
        <f t="array" ref="AD42">G42+I42+K42+M42+O42+Q42+S42+U42+W42+Y42+AA42+AC42</f>
      </c>
      <c r="AE42" s="50" cm="1">
        <f t="array" ref="AE42">700*10</f>
        <v>7000</v>
      </c>
      <c r="AF42" s="7" cm="1">
        <f t="array" ref="AF42">AE42-AD42</f>
      </c>
    </row>
    <row r="43" ht="13.55" customHeight="1">
      <c r="A43" s="85"/>
      <c r="B43" s="9"/>
      <c r="C43" s="9"/>
      <c r="D43" s="9"/>
      <c r="E43" s="9"/>
      <c r="F43" t="s" s="8">
        <v>10</v>
      </c>
      <c r="G43" t="s" s="33">
        <v>81</v>
      </c>
      <c r="H43" t="s" s="8">
        <v>10</v>
      </c>
      <c r="I43" s="34"/>
      <c r="J43" t="s" s="8">
        <v>10</v>
      </c>
      <c r="K43" s="45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8">
        <v>10</v>
      </c>
      <c r="AA43" s="34"/>
      <c r="AB43" t="s" s="8">
        <v>10</v>
      </c>
      <c r="AC43" s="34"/>
      <c r="AD43" s="23"/>
      <c r="AE43" s="13"/>
      <c r="AF43" s="7"/>
    </row>
    <row r="44" ht="13.55" customHeight="1">
      <c r="A44" s="9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23"/>
      <c r="AE44" s="13"/>
      <c r="AF44" s="7"/>
    </row>
    <row r="45" ht="13.75" customHeight="1">
      <c r="A45" s="83">
        <v>7</v>
      </c>
      <c r="B45" t="s" s="15">
        <v>84</v>
      </c>
      <c r="C45" s="9"/>
      <c r="D45" s="9"/>
      <c r="E45" t="s" s="8">
        <v>5</v>
      </c>
      <c r="F45" t="s" s="8">
        <v>6</v>
      </c>
      <c r="G45" s="16">
        <v>1189</v>
      </c>
      <c r="H45" t="s" s="8">
        <v>6</v>
      </c>
      <c r="I45" s="16">
        <v>3227</v>
      </c>
      <c r="J45" t="s" s="8">
        <v>6</v>
      </c>
      <c r="K45" s="16">
        <v>3263</v>
      </c>
      <c r="L45" t="s" s="8">
        <v>6</v>
      </c>
      <c r="M45" s="23"/>
      <c r="N45" t="s" s="8">
        <v>6</v>
      </c>
      <c r="O45" s="23"/>
      <c r="P45" t="s" s="8">
        <v>6</v>
      </c>
      <c r="Q45" s="23"/>
      <c r="R45" t="s" s="8">
        <v>6</v>
      </c>
      <c r="S45" s="23"/>
      <c r="T45" t="s" s="8">
        <v>6</v>
      </c>
      <c r="U45" s="23"/>
      <c r="V45" t="s" s="8">
        <v>6</v>
      </c>
      <c r="W45" s="23"/>
      <c r="X45" t="s" s="8">
        <v>6</v>
      </c>
      <c r="Y45" s="23"/>
      <c r="Z45" t="s" s="8">
        <v>6</v>
      </c>
      <c r="AA45" s="23"/>
      <c r="AB45" t="s" s="8">
        <v>6</v>
      </c>
      <c r="AC45" s="23"/>
      <c r="AD45" s="23"/>
      <c r="AE45" s="13"/>
      <c r="AF45" s="7"/>
    </row>
    <row r="46" ht="13.55" customHeight="1">
      <c r="A46" s="84"/>
      <c r="B46" s="9"/>
      <c r="C46" s="9"/>
      <c r="D46" s="42"/>
      <c r="E46" s="9"/>
      <c r="F46" t="s" s="8">
        <v>8</v>
      </c>
      <c r="G46" s="26">
        <v>850</v>
      </c>
      <c r="H46" t="s" s="8">
        <v>8</v>
      </c>
      <c r="I46" s="26">
        <v>850</v>
      </c>
      <c r="J46" t="s" s="8">
        <v>8</v>
      </c>
      <c r="K46" s="26">
        <v>850</v>
      </c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8">
        <v>8</v>
      </c>
      <c r="AA46" s="27"/>
      <c r="AB46" t="s" s="8">
        <v>8</v>
      </c>
      <c r="AC46" s="27"/>
      <c r="AD46" s="31" cm="1">
        <f t="array" ref="AD46">G46+I46+K46+M46+O46+Q46+S46+U46+W46+Y46+AA46+AC46</f>
        <v>2550</v>
      </c>
      <c r="AE46" s="50" cm="1">
        <f t="array" ref="AE46">800*11</f>
        <v>8800</v>
      </c>
      <c r="AF46" s="51" cm="1">
        <f t="array" ref="AF46">AE46-AD46</f>
        <v>6250</v>
      </c>
    </row>
    <row r="47" ht="13.55" customHeight="1">
      <c r="A47" s="84"/>
      <c r="B47" s="23"/>
      <c r="C47" t="s" s="8">
        <v>9</v>
      </c>
      <c r="D47" s="25">
        <v>1000</v>
      </c>
      <c r="E47" s="9"/>
      <c r="F47" t="s" s="8">
        <v>10</v>
      </c>
      <c r="G47" t="s" s="33">
        <v>39</v>
      </c>
      <c r="H47" t="s" s="8">
        <v>10</v>
      </c>
      <c r="I47" t="s" s="33">
        <v>85</v>
      </c>
      <c r="J47" t="s" s="8">
        <v>10</v>
      </c>
      <c r="K47" t="s" s="33">
        <v>86</v>
      </c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8">
        <v>10</v>
      </c>
      <c r="AA47" s="34"/>
      <c r="AB47" t="s" s="8">
        <v>10</v>
      </c>
      <c r="AC47" s="34"/>
      <c r="AD47" s="23"/>
      <c r="AE47" s="13"/>
      <c r="AF47" s="7"/>
    </row>
    <row r="48" ht="13.75" customHeight="1">
      <c r="A48" s="84"/>
      <c r="B48" t="s" s="8">
        <v>87</v>
      </c>
      <c r="C48" s="9"/>
      <c r="D48" s="9"/>
      <c r="E48" t="s" s="8">
        <v>14</v>
      </c>
      <c r="F48" t="s" s="8">
        <v>6</v>
      </c>
      <c r="G48" s="23"/>
      <c r="H48" t="s" s="8">
        <v>6</v>
      </c>
      <c r="I48" s="16">
        <v>2187</v>
      </c>
      <c r="J48" t="s" s="8">
        <v>6</v>
      </c>
      <c r="K48" s="18"/>
      <c r="L48" t="s" s="8">
        <v>6</v>
      </c>
      <c r="M48" s="18"/>
      <c r="N48" t="s" s="8">
        <v>6</v>
      </c>
      <c r="O48" s="18"/>
      <c r="P48" t="s" s="8">
        <v>6</v>
      </c>
      <c r="Q48" s="23"/>
      <c r="R48" t="s" s="8">
        <v>6</v>
      </c>
      <c r="S48" s="23"/>
      <c r="T48" t="s" s="8">
        <v>6</v>
      </c>
      <c r="U48" s="23"/>
      <c r="V48" t="s" s="8">
        <v>6</v>
      </c>
      <c r="W48" s="23"/>
      <c r="X48" t="s" s="8">
        <v>6</v>
      </c>
      <c r="Y48" s="23"/>
      <c r="Z48" t="s" s="8">
        <v>6</v>
      </c>
      <c r="AA48" s="23"/>
      <c r="AB48" t="s" s="8">
        <v>6</v>
      </c>
      <c r="AC48" s="23"/>
      <c r="AD48" s="23"/>
      <c r="AE48" s="13"/>
      <c r="AF48" s="7"/>
    </row>
    <row r="49" ht="13.55" customHeight="1">
      <c r="A49" s="84"/>
      <c r="B49" t="s" s="8">
        <v>88</v>
      </c>
      <c r="C49" s="9"/>
      <c r="D49" s="9"/>
      <c r="E49" s="9"/>
      <c r="F49" t="s" s="8">
        <v>8</v>
      </c>
      <c r="G49" s="27"/>
      <c r="H49" t="s" s="8">
        <v>8</v>
      </c>
      <c r="I49" s="26">
        <v>600</v>
      </c>
      <c r="J49" t="s" s="8">
        <v>8</v>
      </c>
      <c r="K49" s="27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7"/>
      <c r="Z49" t="s" s="8">
        <v>8</v>
      </c>
      <c r="AA49" s="27"/>
      <c r="AB49" t="s" s="8">
        <v>8</v>
      </c>
      <c r="AC49" s="27"/>
      <c r="AD49" s="31" cm="1">
        <f t="array" ref="AD49">G49+I49+K49+M49+O49+Q49+S49+U49+W49+Y49+AA49+AC49</f>
        <v>600</v>
      </c>
      <c r="AE49" s="50" cm="1">
        <f t="array" ref="AE49">500*10</f>
        <v>5000</v>
      </c>
      <c r="AF49" s="51" cm="1">
        <f t="array" ref="AF49">AE49-AD49</f>
        <v>4400</v>
      </c>
    </row>
    <row r="50" ht="13.55" customHeight="1">
      <c r="A50" s="85"/>
      <c r="B50" s="9"/>
      <c r="C50" s="9"/>
      <c r="D50" s="9"/>
      <c r="E50" s="9"/>
      <c r="F50" t="s" s="8">
        <v>10</v>
      </c>
      <c r="G50" s="34"/>
      <c r="H50" t="s" s="8">
        <v>10</v>
      </c>
      <c r="I50" t="s" s="33">
        <v>55</v>
      </c>
      <c r="J50" t="s" s="8">
        <v>10</v>
      </c>
      <c r="K50" s="34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s="34"/>
      <c r="Z50" t="s" s="8">
        <v>10</v>
      </c>
      <c r="AA50" s="34"/>
      <c r="AB50" t="s" s="8">
        <v>10</v>
      </c>
      <c r="AC50" s="34"/>
      <c r="AD50" s="23"/>
      <c r="AE50" s="13"/>
      <c r="AF50" s="7"/>
    </row>
    <row r="51" ht="13.55" customHeight="1">
      <c r="A51" s="89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23"/>
      <c r="AE51" s="13"/>
      <c r="AF51" s="7"/>
    </row>
    <row r="52" ht="13.55" customHeight="1">
      <c r="A52" s="90">
        <v>8</v>
      </c>
      <c r="B52" t="s" s="91">
        <v>89</v>
      </c>
      <c r="C52" s="9"/>
      <c r="D52" s="9"/>
      <c r="E52" t="s" s="8">
        <v>5</v>
      </c>
      <c r="F52" t="s" s="8">
        <v>6</v>
      </c>
      <c r="G52" s="92">
        <v>1086</v>
      </c>
      <c r="H52" t="s" s="8">
        <v>6</v>
      </c>
      <c r="I52" s="92">
        <v>1086</v>
      </c>
      <c r="J52" t="s" s="8">
        <v>6</v>
      </c>
      <c r="K52" s="27"/>
      <c r="L52" t="s" s="8">
        <v>6</v>
      </c>
      <c r="M52" s="93"/>
      <c r="N52" t="s" s="8">
        <v>6</v>
      </c>
      <c r="O52" s="23"/>
      <c r="P52" t="s" s="8">
        <v>6</v>
      </c>
      <c r="Q52" s="94"/>
      <c r="R52" s="73"/>
      <c r="S52" s="95"/>
      <c r="T52" s="73"/>
      <c r="U52" s="95"/>
      <c r="V52" s="73"/>
      <c r="W52" s="95"/>
      <c r="X52" s="73"/>
      <c r="Y52" s="95"/>
      <c r="Z52" s="73"/>
      <c r="AA52" s="95"/>
      <c r="AB52" s="73"/>
      <c r="AC52" s="95"/>
      <c r="AD52" s="70"/>
      <c r="AE52" s="7"/>
      <c r="AF52" s="7"/>
    </row>
    <row r="53" ht="13.75" customHeight="1">
      <c r="A53" s="96"/>
      <c r="B53" t="s" s="97">
        <v>68</v>
      </c>
      <c r="C53" t="s" s="8">
        <v>7</v>
      </c>
      <c r="D53" s="25">
        <v>1000</v>
      </c>
      <c r="E53" s="9"/>
      <c r="F53" t="s" s="8">
        <v>8</v>
      </c>
      <c r="G53" s="98">
        <v>850</v>
      </c>
      <c r="H53" t="s" s="8">
        <v>8</v>
      </c>
      <c r="I53" s="98">
        <v>850</v>
      </c>
      <c r="J53" t="s" s="8">
        <v>8</v>
      </c>
      <c r="K53" s="27"/>
      <c r="L53" t="s" s="8">
        <v>8</v>
      </c>
      <c r="M53" s="99"/>
      <c r="N53" t="s" s="8">
        <v>8</v>
      </c>
      <c r="O53" s="27"/>
      <c r="P53" t="s" s="8">
        <v>8</v>
      </c>
      <c r="Q53" s="100"/>
      <c r="R53" s="75"/>
      <c r="S53" s="80"/>
      <c r="T53" s="75"/>
      <c r="U53" s="80"/>
      <c r="V53" s="75"/>
      <c r="W53" s="80"/>
      <c r="X53" s="75"/>
      <c r="Y53" s="80"/>
      <c r="Z53" s="75"/>
      <c r="AA53" s="80"/>
      <c r="AB53" s="75"/>
      <c r="AC53" s="80"/>
      <c r="AD53" s="7"/>
      <c r="AE53" s="7"/>
      <c r="AF53" s="7"/>
    </row>
    <row r="54" ht="13.55" customHeight="1">
      <c r="A54" s="96"/>
      <c r="B54" s="101"/>
      <c r="C54" t="s" s="8">
        <v>9</v>
      </c>
      <c r="D54" s="25">
        <v>1000</v>
      </c>
      <c r="E54" s="9"/>
      <c r="F54" t="s" s="8">
        <v>10</v>
      </c>
      <c r="G54" t="s" s="33">
        <v>17</v>
      </c>
      <c r="H54" t="s" s="8">
        <v>10</v>
      </c>
      <c r="I54" t="s" s="33">
        <v>17</v>
      </c>
      <c r="J54" t="s" s="8">
        <v>10</v>
      </c>
      <c r="K54" s="27"/>
      <c r="L54" t="s" s="8">
        <v>10</v>
      </c>
      <c r="M54" s="99"/>
      <c r="N54" t="s" s="8">
        <v>10</v>
      </c>
      <c r="O54" s="34"/>
      <c r="P54" t="s" s="8">
        <v>10</v>
      </c>
      <c r="Q54" s="100"/>
      <c r="R54" s="75"/>
      <c r="S54" s="80"/>
      <c r="T54" s="75"/>
      <c r="U54" s="80"/>
      <c r="V54" s="75"/>
      <c r="W54" s="80"/>
      <c r="X54" s="75"/>
      <c r="Y54" s="80"/>
      <c r="Z54" s="75"/>
      <c r="AA54" s="80"/>
      <c r="AB54" s="75"/>
      <c r="AC54" s="80"/>
      <c r="AD54" s="7"/>
      <c r="AE54" s="7"/>
      <c r="AF54" s="7"/>
    </row>
    <row r="55" ht="13.75" customHeight="1">
      <c r="A55" s="96"/>
      <c r="B55" t="s" s="102">
        <v>90</v>
      </c>
      <c r="C55" s="9"/>
      <c r="D55" s="9"/>
      <c r="E55" t="s" s="8">
        <v>14</v>
      </c>
      <c r="F55" t="s" s="8">
        <v>6</v>
      </c>
      <c r="G55" s="31">
        <v>2024</v>
      </c>
      <c r="H55" t="s" s="8">
        <v>6</v>
      </c>
      <c r="I55" s="23"/>
      <c r="J55" t="s" s="8">
        <v>6</v>
      </c>
      <c r="K55" s="23"/>
      <c r="L55" t="s" s="8">
        <v>6</v>
      </c>
      <c r="M55" s="99"/>
      <c r="N55" t="s" s="8">
        <v>6</v>
      </c>
      <c r="O55" s="18"/>
      <c r="P55" t="s" s="8">
        <v>6</v>
      </c>
      <c r="Q55" s="100"/>
      <c r="R55" s="75"/>
      <c r="S55" s="80"/>
      <c r="T55" s="75"/>
      <c r="U55" s="80"/>
      <c r="V55" s="75"/>
      <c r="W55" s="80"/>
      <c r="X55" s="75"/>
      <c r="Y55" s="80"/>
      <c r="Z55" s="75"/>
      <c r="AA55" s="80"/>
      <c r="AB55" s="75"/>
      <c r="AC55" s="80"/>
      <c r="AD55" s="7"/>
      <c r="AE55" s="7"/>
      <c r="AF55" s="7"/>
    </row>
    <row r="56" ht="13.55" customHeight="1">
      <c r="A56" s="96"/>
      <c r="B56" t="s" s="102">
        <v>91</v>
      </c>
      <c r="C56" s="9"/>
      <c r="D56" s="9"/>
      <c r="E56" s="9"/>
      <c r="F56" t="s" s="8">
        <v>8</v>
      </c>
      <c r="G56" s="98">
        <v>800</v>
      </c>
      <c r="H56" t="s" s="8">
        <v>8</v>
      </c>
      <c r="I56" s="23"/>
      <c r="J56" t="s" s="8">
        <v>8</v>
      </c>
      <c r="K56" s="23"/>
      <c r="L56" t="s" s="8">
        <v>8</v>
      </c>
      <c r="M56" s="99"/>
      <c r="N56" t="s" s="8">
        <v>8</v>
      </c>
      <c r="O56" s="27"/>
      <c r="P56" t="s" s="8">
        <v>8</v>
      </c>
      <c r="Q56" s="100"/>
      <c r="R56" s="75"/>
      <c r="S56" s="80"/>
      <c r="T56" s="75"/>
      <c r="U56" s="80"/>
      <c r="V56" s="75"/>
      <c r="W56" s="80"/>
      <c r="X56" s="75"/>
      <c r="Y56" s="80"/>
      <c r="Z56" s="75"/>
      <c r="AA56" s="80"/>
      <c r="AB56" s="75"/>
      <c r="AC56" s="80"/>
      <c r="AD56" s="7"/>
      <c r="AE56" s="7"/>
      <c r="AF56" s="7"/>
    </row>
    <row r="57" ht="13.55" customHeight="1">
      <c r="A57" s="103"/>
      <c r="B57" s="104"/>
      <c r="C57" s="9"/>
      <c r="D57" s="9"/>
      <c r="E57" s="9"/>
      <c r="F57" t="s" s="8">
        <v>10</v>
      </c>
      <c r="G57" t="s" s="33">
        <v>17</v>
      </c>
      <c r="H57" t="s" s="8">
        <v>10</v>
      </c>
      <c r="I57" s="27"/>
      <c r="J57" t="s" s="8">
        <v>10</v>
      </c>
      <c r="K57" s="27"/>
      <c r="L57" t="s" s="8">
        <v>10</v>
      </c>
      <c r="M57" s="99"/>
      <c r="N57" t="s" s="8">
        <v>10</v>
      </c>
      <c r="O57" s="34"/>
      <c r="P57" t="s" s="8">
        <v>10</v>
      </c>
      <c r="Q57" s="100"/>
      <c r="R57" s="75"/>
      <c r="S57" s="80"/>
      <c r="T57" s="75"/>
      <c r="U57" s="80"/>
      <c r="V57" s="75"/>
      <c r="W57" s="80"/>
      <c r="X57" s="75"/>
      <c r="Y57" s="80"/>
      <c r="Z57" s="75"/>
      <c r="AA57" s="80"/>
      <c r="AB57" s="75"/>
      <c r="AC57" s="80"/>
      <c r="AD57" s="7"/>
      <c r="AE57" s="7"/>
      <c r="AF57" s="7"/>
    </row>
    <row r="58" ht="13.55" customHeight="1">
      <c r="A58" s="105"/>
      <c r="B58" s="106"/>
      <c r="C58" s="66"/>
      <c r="D58" s="66"/>
      <c r="E58" s="66"/>
      <c r="F58" s="66"/>
      <c r="G58" s="68"/>
      <c r="H58" s="66"/>
      <c r="I58" s="67"/>
      <c r="J58" s="66"/>
      <c r="K58" s="68"/>
      <c r="L58" s="66"/>
      <c r="M58" s="107"/>
      <c r="N58" s="9"/>
      <c r="O58" s="9"/>
      <c r="P58" s="9"/>
      <c r="Q58" s="108"/>
      <c r="R58" s="109"/>
      <c r="S58" s="110"/>
      <c r="T58" s="109"/>
      <c r="U58" s="110"/>
      <c r="V58" s="109"/>
      <c r="W58" s="110"/>
      <c r="X58" s="109"/>
      <c r="Y58" s="110"/>
      <c r="Z58" s="109"/>
      <c r="AA58" s="110"/>
      <c r="AB58" s="109"/>
      <c r="AC58" s="110"/>
      <c r="AD58" s="111"/>
      <c r="AE58" s="7"/>
      <c r="AF58" s="7"/>
    </row>
    <row r="59" ht="13.75" customHeight="1">
      <c r="A59" s="83">
        <v>9</v>
      </c>
      <c r="B59" t="s" s="15">
        <v>92</v>
      </c>
      <c r="C59" s="9"/>
      <c r="D59" s="9"/>
      <c r="E59" t="s" s="8">
        <v>5</v>
      </c>
      <c r="F59" t="s" s="8">
        <v>6</v>
      </c>
      <c r="G59" s="92">
        <v>1116</v>
      </c>
      <c r="H59" t="s" s="8">
        <v>6</v>
      </c>
      <c r="I59" s="92">
        <v>3231</v>
      </c>
      <c r="J59" t="s" s="8">
        <v>6</v>
      </c>
      <c r="K59" s="27"/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8"/>
      <c r="Z59" t="s" s="8">
        <v>6</v>
      </c>
      <c r="AA59" s="18"/>
      <c r="AB59" t="s" s="8">
        <v>6</v>
      </c>
      <c r="AC59" s="18"/>
      <c r="AD59" s="23"/>
      <c r="AE59" s="13"/>
      <c r="AF59" s="7"/>
    </row>
    <row r="60" ht="13.55" customHeight="1">
      <c r="A60" s="84"/>
      <c r="B60" s="9"/>
      <c r="C60" s="9"/>
      <c r="D60" s="42"/>
      <c r="E60" s="9"/>
      <c r="F60" t="s" s="8">
        <v>8</v>
      </c>
      <c r="G60" s="98">
        <v>850</v>
      </c>
      <c r="H60" t="s" s="8">
        <v>8</v>
      </c>
      <c r="I60" s="98">
        <v>850</v>
      </c>
      <c r="J60" t="s" s="8">
        <v>8</v>
      </c>
      <c r="K60" s="27"/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7"/>
      <c r="Z60" t="s" s="8">
        <v>8</v>
      </c>
      <c r="AA60" s="27"/>
      <c r="AB60" t="s" s="8">
        <v>8</v>
      </c>
      <c r="AC60" s="27"/>
      <c r="AD60" s="31" cm="1">
        <f t="array" ref="AD60">G60+I60+K60+M60+O60+Q60+S60+U60+W60+Y60+AA60+AC60</f>
        <v>1700</v>
      </c>
      <c r="AE60" s="50" cm="1">
        <f t="array" ref="AE60">800*9</f>
        <v>7200</v>
      </c>
      <c r="AF60" s="51" cm="1">
        <f t="array" ref="AF60">AE60-AD60</f>
        <v>5500</v>
      </c>
    </row>
    <row r="61" ht="13.55" customHeight="1">
      <c r="A61" s="84"/>
      <c r="B61" s="23"/>
      <c r="C61" t="s" s="8">
        <v>9</v>
      </c>
      <c r="D61" s="25">
        <v>1000</v>
      </c>
      <c r="E61" s="9"/>
      <c r="F61" t="s" s="8">
        <v>10</v>
      </c>
      <c r="G61" t="s" s="33">
        <v>93</v>
      </c>
      <c r="H61" t="s" s="8">
        <v>10</v>
      </c>
      <c r="I61" t="s" s="33">
        <v>12</v>
      </c>
      <c r="J61" t="s" s="8">
        <v>10</v>
      </c>
      <c r="K61" s="27"/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s="34"/>
      <c r="Z61" t="s" s="8">
        <v>10</v>
      </c>
      <c r="AA61" s="34"/>
      <c r="AB61" t="s" s="8">
        <v>10</v>
      </c>
      <c r="AC61" s="34"/>
      <c r="AD61" s="23"/>
      <c r="AE61" s="13"/>
      <c r="AF61" s="7"/>
    </row>
    <row r="62" ht="13.75" customHeight="1">
      <c r="A62" s="84"/>
      <c r="B62" t="s" s="8">
        <v>94</v>
      </c>
      <c r="C62" s="9"/>
      <c r="D62" s="9"/>
      <c r="E62" t="s" s="8">
        <v>14</v>
      </c>
      <c r="F62" t="s" s="8">
        <v>6</v>
      </c>
      <c r="G62" s="31">
        <v>2040</v>
      </c>
      <c r="H62" t="s" s="8">
        <v>6</v>
      </c>
      <c r="I62" s="31">
        <v>2197</v>
      </c>
      <c r="J62" t="s" s="8">
        <v>6</v>
      </c>
      <c r="K62" s="23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8"/>
      <c r="Z62" t="s" s="8">
        <v>6</v>
      </c>
      <c r="AA62" s="18"/>
      <c r="AB62" t="s" s="8">
        <v>6</v>
      </c>
      <c r="AC62" s="18"/>
      <c r="AD62" s="23"/>
      <c r="AE62" s="13"/>
      <c r="AF62" s="7"/>
    </row>
    <row r="63" ht="13.55" customHeight="1">
      <c r="A63" s="84"/>
      <c r="B63" t="s" s="8">
        <v>95</v>
      </c>
      <c r="C63" s="9"/>
      <c r="D63" s="9"/>
      <c r="E63" s="9"/>
      <c r="F63" t="s" s="8">
        <v>8</v>
      </c>
      <c r="G63" s="98">
        <v>600</v>
      </c>
      <c r="H63" t="s" s="8">
        <v>8</v>
      </c>
      <c r="I63" s="98">
        <v>600</v>
      </c>
      <c r="J63" t="s" s="8">
        <v>8</v>
      </c>
      <c r="K63" s="23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7"/>
      <c r="Z63" t="s" s="8">
        <v>8</v>
      </c>
      <c r="AA63" s="27"/>
      <c r="AB63" t="s" s="8">
        <v>8</v>
      </c>
      <c r="AC63" s="27"/>
      <c r="AD63" s="31" cm="1">
        <f t="array" ref="AD63">G63+I63+K63+M63+O63+Q63+S63+U63+W63+Y63+AA63+AC63</f>
        <v>1200</v>
      </c>
      <c r="AE63" s="50" cm="1">
        <f t="array" ref="AE63">500*9</f>
        <v>4500</v>
      </c>
      <c r="AF63" s="51" cm="1">
        <f t="array" ref="AF63">AE63-AD63</f>
        <v>3300</v>
      </c>
    </row>
    <row r="64" ht="13.55" customHeight="1">
      <c r="A64" s="85"/>
      <c r="B64" s="9"/>
      <c r="C64" s="9"/>
      <c r="D64" s="9"/>
      <c r="E64" s="9"/>
      <c r="F64" t="s" s="8">
        <v>10</v>
      </c>
      <c r="G64" t="s" s="33">
        <v>93</v>
      </c>
      <c r="H64" t="s" s="8">
        <v>10</v>
      </c>
      <c r="I64" t="s" s="33">
        <v>12</v>
      </c>
      <c r="J64" t="s" s="8">
        <v>10</v>
      </c>
      <c r="K64" s="27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s="34"/>
      <c r="Z64" t="s" s="8">
        <v>10</v>
      </c>
      <c r="AA64" s="34"/>
      <c r="AB64" t="s" s="8">
        <v>10</v>
      </c>
      <c r="AC64" s="34"/>
      <c r="AD64" s="23"/>
      <c r="AE64" s="13"/>
      <c r="AF64" s="7"/>
    </row>
    <row r="65" ht="13.55" customHeight="1">
      <c r="A65" s="112"/>
      <c r="B65" s="113"/>
      <c r="C65" s="65"/>
      <c r="D65" s="65"/>
      <c r="E65" s="66"/>
      <c r="F65" s="66"/>
      <c r="G65" s="67"/>
      <c r="H65" s="66"/>
      <c r="I65" s="67"/>
      <c r="J65" s="66"/>
      <c r="K65" s="68"/>
      <c r="L65" s="66"/>
      <c r="M65" s="67"/>
      <c r="N65" s="66"/>
      <c r="O65" s="67"/>
      <c r="P65" s="66"/>
      <c r="Q65" s="69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70"/>
      <c r="AE65" s="7"/>
      <c r="AF65" s="7"/>
    </row>
    <row r="66" ht="13.75" customHeight="1">
      <c r="A66" s="83">
        <v>10</v>
      </c>
      <c r="B66" t="s" s="15">
        <v>96</v>
      </c>
      <c r="C66" s="9"/>
      <c r="D66" s="9"/>
      <c r="E66" t="s" s="8">
        <v>5</v>
      </c>
      <c r="F66" t="s" s="8">
        <v>6</v>
      </c>
      <c r="G66" s="92">
        <v>1130</v>
      </c>
      <c r="H66" t="s" s="8">
        <v>6</v>
      </c>
      <c r="I66" s="92">
        <v>3218</v>
      </c>
      <c r="J66" t="s" s="8">
        <v>6</v>
      </c>
      <c r="K66" s="27"/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8"/>
      <c r="Z66" t="s" s="8">
        <v>6</v>
      </c>
      <c r="AA66" s="18"/>
      <c r="AB66" t="s" s="8">
        <v>6</v>
      </c>
      <c r="AC66" s="18"/>
      <c r="AD66" s="71"/>
      <c r="AE66" s="7"/>
      <c r="AF66" s="7"/>
    </row>
    <row r="67" ht="13.55" customHeight="1">
      <c r="A67" s="84"/>
      <c r="B67" s="23"/>
      <c r="C67" s="9"/>
      <c r="D67" s="42"/>
      <c r="E67" s="9"/>
      <c r="F67" t="s" s="8">
        <v>8</v>
      </c>
      <c r="G67" s="98">
        <v>425</v>
      </c>
      <c r="H67" t="s" s="8">
        <v>8</v>
      </c>
      <c r="I67" s="98">
        <v>425</v>
      </c>
      <c r="J67" t="s" s="8">
        <v>8</v>
      </c>
      <c r="K67" s="27"/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7"/>
      <c r="Z67" t="s" s="8">
        <v>8</v>
      </c>
      <c r="AA67" s="27"/>
      <c r="AB67" t="s" s="8">
        <v>8</v>
      </c>
      <c r="AC67" s="27"/>
      <c r="AD67" s="31" cm="1">
        <f t="array" ref="AD67">G67+I67+K67+M67+O67+Q67+S67+U67+W67+Y67+AA67+AC67</f>
        <v>850</v>
      </c>
      <c r="AE67" s="50" cm="1">
        <f t="array" ref="AE67">800*9</f>
        <v>7200</v>
      </c>
      <c r="AF67" s="51" cm="1">
        <f t="array" ref="AF67">AE67-AD67</f>
        <v>6350</v>
      </c>
    </row>
    <row r="68" ht="13.55" customHeight="1">
      <c r="A68" s="84"/>
      <c r="B68" t="s" s="114">
        <v>97</v>
      </c>
      <c r="C68" t="s" s="8">
        <v>9</v>
      </c>
      <c r="D68" s="25">
        <v>1000</v>
      </c>
      <c r="E68" s="9"/>
      <c r="F68" t="s" s="8">
        <v>10</v>
      </c>
      <c r="G68" t="s" s="33">
        <v>93</v>
      </c>
      <c r="H68" t="s" s="8">
        <v>10</v>
      </c>
      <c r="I68" t="s" s="33">
        <v>55</v>
      </c>
      <c r="J68" t="s" s="8">
        <v>10</v>
      </c>
      <c r="K68" s="27"/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s="34"/>
      <c r="Z68" t="s" s="8">
        <v>10</v>
      </c>
      <c r="AA68" s="34"/>
      <c r="AB68" t="s" s="8">
        <v>10</v>
      </c>
      <c r="AC68" s="34"/>
      <c r="AD68" s="23"/>
      <c r="AE68" s="13"/>
      <c r="AF68" s="7"/>
    </row>
    <row r="69" ht="13.75" customHeight="1">
      <c r="A69" s="84"/>
      <c r="B69" t="s" s="8">
        <v>98</v>
      </c>
      <c r="C69" s="9"/>
      <c r="D69" s="9"/>
      <c r="E69" t="s" s="8">
        <v>14</v>
      </c>
      <c r="F69" t="s" s="8">
        <v>6</v>
      </c>
      <c r="G69" s="92">
        <v>2053</v>
      </c>
      <c r="H69" t="s" s="8">
        <v>6</v>
      </c>
      <c r="I69" s="92">
        <v>2192</v>
      </c>
      <c r="J69" t="s" s="8">
        <v>6</v>
      </c>
      <c r="K69" s="23"/>
      <c r="L69" t="s" s="8">
        <v>6</v>
      </c>
      <c r="M69" s="18"/>
      <c r="N69" t="s" s="8">
        <v>6</v>
      </c>
      <c r="O69" s="18"/>
      <c r="P69" t="s" s="8">
        <v>6</v>
      </c>
      <c r="Q69" s="18"/>
      <c r="R69" t="s" s="8">
        <v>6</v>
      </c>
      <c r="S69" s="18"/>
      <c r="T69" t="s" s="8">
        <v>6</v>
      </c>
      <c r="U69" s="18"/>
      <c r="V69" t="s" s="8">
        <v>6</v>
      </c>
      <c r="W69" s="18"/>
      <c r="X69" t="s" s="8">
        <v>6</v>
      </c>
      <c r="Y69" s="18"/>
      <c r="Z69" t="s" s="8">
        <v>6</v>
      </c>
      <c r="AA69" s="18"/>
      <c r="AB69" t="s" s="8">
        <v>6</v>
      </c>
      <c r="AC69" s="18"/>
      <c r="AD69" s="23"/>
      <c r="AE69" s="13"/>
      <c r="AF69" s="7"/>
    </row>
    <row r="70" ht="13.55" customHeight="1">
      <c r="A70" s="84"/>
      <c r="B70" t="s" s="8">
        <v>99</v>
      </c>
      <c r="C70" s="9"/>
      <c r="D70" s="9"/>
      <c r="E70" s="9"/>
      <c r="F70" t="s" s="8">
        <v>8</v>
      </c>
      <c r="G70" s="98">
        <v>1000</v>
      </c>
      <c r="H70" t="s" s="8">
        <v>8</v>
      </c>
      <c r="I70" s="98">
        <v>1000</v>
      </c>
      <c r="J70" t="s" s="8">
        <v>8</v>
      </c>
      <c r="K70" s="23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8">
        <v>8</v>
      </c>
      <c r="Y70" s="27"/>
      <c r="Z70" t="s" s="8">
        <v>8</v>
      </c>
      <c r="AA70" s="27"/>
      <c r="AB70" t="s" s="8">
        <v>8</v>
      </c>
      <c r="AC70" s="27"/>
      <c r="AD70" s="31" cm="1">
        <f t="array" ref="AD70">G70+I70+K70+M70+O70+Q70+S70+U70+W70+Y70+AA70+AC70</f>
        <v>2000</v>
      </c>
      <c r="AE70" s="50" cm="1">
        <f t="array" ref="AE70">700*9</f>
        <v>6300</v>
      </c>
      <c r="AF70" s="51" cm="1">
        <f t="array" ref="AF70">AE70-AD70</f>
        <v>4300</v>
      </c>
    </row>
    <row r="71" ht="13.55" customHeight="1">
      <c r="A71" s="85"/>
      <c r="B71" s="9"/>
      <c r="C71" s="9"/>
      <c r="D71" s="9"/>
      <c r="E71" s="9"/>
      <c r="F71" t="s" s="8">
        <v>10</v>
      </c>
      <c r="G71" t="s" s="33">
        <v>93</v>
      </c>
      <c r="H71" t="s" s="8">
        <v>10</v>
      </c>
      <c r="I71" t="s" s="33">
        <v>55</v>
      </c>
      <c r="J71" t="s" s="8">
        <v>10</v>
      </c>
      <c r="K71" s="27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8">
        <v>10</v>
      </c>
      <c r="Y71" s="34"/>
      <c r="Z71" t="s" s="8">
        <v>10</v>
      </c>
      <c r="AA71" s="34"/>
      <c r="AB71" t="s" s="8">
        <v>10</v>
      </c>
      <c r="AC71" s="34"/>
      <c r="AD71" s="72"/>
      <c r="AE71" s="7"/>
      <c r="AF71" s="7"/>
    </row>
    <row r="72" ht="13.55" customHeight="1">
      <c r="A72" s="112"/>
      <c r="B72" s="113"/>
      <c r="C72" s="65"/>
      <c r="D72" s="65"/>
      <c r="E72" s="66"/>
      <c r="F72" s="66"/>
      <c r="G72" s="67"/>
      <c r="H72" s="66"/>
      <c r="I72" s="67"/>
      <c r="J72" s="66"/>
      <c r="K72" s="68"/>
      <c r="L72" s="66"/>
      <c r="M72" s="67"/>
      <c r="N72" s="66"/>
      <c r="O72" s="67"/>
      <c r="P72" s="66"/>
      <c r="Q72" s="69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7"/>
      <c r="AE72" s="7"/>
      <c r="AF72" s="7"/>
    </row>
    <row r="73" ht="13.75" customHeight="1">
      <c r="A73" s="83">
        <v>11</v>
      </c>
      <c r="B73" t="s" s="15">
        <v>100</v>
      </c>
      <c r="C73" s="9"/>
      <c r="D73" s="9"/>
      <c r="E73" t="s" s="8">
        <v>5</v>
      </c>
      <c r="F73" t="s" s="8">
        <v>6</v>
      </c>
      <c r="G73" s="92">
        <v>1110</v>
      </c>
      <c r="H73" t="s" s="8">
        <v>6</v>
      </c>
      <c r="I73" s="92">
        <v>1110</v>
      </c>
      <c r="J73" t="s" s="8">
        <v>6</v>
      </c>
      <c r="K73" s="92">
        <v>1110</v>
      </c>
      <c r="L73" t="s" s="8">
        <v>6</v>
      </c>
      <c r="M73" s="18"/>
      <c r="N73" t="s" s="8">
        <v>6</v>
      </c>
      <c r="O73" s="18"/>
      <c r="P73" t="s" s="8">
        <v>6</v>
      </c>
      <c r="Q73" s="18"/>
      <c r="R73" t="s" s="8">
        <v>6</v>
      </c>
      <c r="S73" s="18"/>
      <c r="T73" t="s" s="8">
        <v>6</v>
      </c>
      <c r="U73" s="18"/>
      <c r="V73" t="s" s="8">
        <v>6</v>
      </c>
      <c r="W73" s="18"/>
      <c r="X73" t="s" s="8">
        <v>6</v>
      </c>
      <c r="Y73" s="18"/>
      <c r="Z73" t="s" s="8">
        <v>6</v>
      </c>
      <c r="AA73" s="18"/>
      <c r="AB73" t="s" s="8">
        <v>6</v>
      </c>
      <c r="AC73" s="18"/>
      <c r="AD73" s="71"/>
      <c r="AE73" s="7"/>
      <c r="AF73" s="7"/>
    </row>
    <row r="74" ht="13.55" customHeight="1">
      <c r="A74" s="84"/>
      <c r="B74" s="9"/>
      <c r="C74" s="9"/>
      <c r="D74" s="42"/>
      <c r="E74" s="9"/>
      <c r="F74" t="s" s="8">
        <v>8</v>
      </c>
      <c r="G74" s="98">
        <v>850</v>
      </c>
      <c r="H74" t="s" s="8">
        <v>8</v>
      </c>
      <c r="I74" s="98">
        <v>850</v>
      </c>
      <c r="J74" t="s" s="8">
        <v>8</v>
      </c>
      <c r="K74" s="98">
        <v>850</v>
      </c>
      <c r="L74" t="s" s="8">
        <v>8</v>
      </c>
      <c r="M74" s="27"/>
      <c r="N74" t="s" s="8">
        <v>8</v>
      </c>
      <c r="O74" s="27"/>
      <c r="P74" t="s" s="8">
        <v>8</v>
      </c>
      <c r="Q74" s="27"/>
      <c r="R74" t="s" s="8">
        <v>8</v>
      </c>
      <c r="S74" s="27"/>
      <c r="T74" t="s" s="8">
        <v>8</v>
      </c>
      <c r="U74" s="27"/>
      <c r="V74" t="s" s="8">
        <v>8</v>
      </c>
      <c r="W74" s="27"/>
      <c r="X74" t="s" s="8">
        <v>8</v>
      </c>
      <c r="Y74" s="27"/>
      <c r="Z74" t="s" s="8">
        <v>8</v>
      </c>
      <c r="AA74" s="27"/>
      <c r="AB74" t="s" s="8">
        <v>8</v>
      </c>
      <c r="AC74" s="27"/>
      <c r="AD74" s="31" cm="1">
        <f t="array" ref="AD74">G74+I74+K74+M74+O74+Q74+S74+U74+W74+Y74+AA74+AC74</f>
        <v>2550</v>
      </c>
      <c r="AE74" s="50" cm="1">
        <f t="array" ref="AE74">800*9</f>
        <v>7200</v>
      </c>
      <c r="AF74" s="51" cm="1">
        <f t="array" ref="AF74">AE74-AD74</f>
        <v>4650</v>
      </c>
    </row>
    <row r="75" ht="13.55" customHeight="1">
      <c r="A75" s="84"/>
      <c r="B75" s="23"/>
      <c r="C75" t="s" s="8">
        <v>9</v>
      </c>
      <c r="D75" s="25">
        <v>1000</v>
      </c>
      <c r="E75" s="9"/>
      <c r="F75" t="s" s="8">
        <v>10</v>
      </c>
      <c r="G75" t="s" s="33">
        <v>93</v>
      </c>
      <c r="H75" t="s" s="8">
        <v>10</v>
      </c>
      <c r="I75" t="s" s="33">
        <v>93</v>
      </c>
      <c r="J75" t="s" s="8">
        <v>10</v>
      </c>
      <c r="K75" t="s" s="33">
        <v>93</v>
      </c>
      <c r="L75" t="s" s="8">
        <v>10</v>
      </c>
      <c r="M75" s="34"/>
      <c r="N75" t="s" s="8">
        <v>10</v>
      </c>
      <c r="O75" s="34"/>
      <c r="P75" t="s" s="8">
        <v>10</v>
      </c>
      <c r="Q75" s="34"/>
      <c r="R75" t="s" s="8">
        <v>10</v>
      </c>
      <c r="S75" s="34"/>
      <c r="T75" t="s" s="8">
        <v>10</v>
      </c>
      <c r="U75" s="34"/>
      <c r="V75" t="s" s="8">
        <v>10</v>
      </c>
      <c r="W75" s="34"/>
      <c r="X75" t="s" s="8">
        <v>10</v>
      </c>
      <c r="Y75" s="34"/>
      <c r="Z75" t="s" s="8">
        <v>10</v>
      </c>
      <c r="AA75" s="34"/>
      <c r="AB75" t="s" s="8">
        <v>10</v>
      </c>
      <c r="AC75" s="34"/>
      <c r="AD75" s="23"/>
      <c r="AE75" s="13"/>
      <c r="AF75" s="7"/>
    </row>
    <row r="76" ht="13.75" customHeight="1">
      <c r="A76" s="84"/>
      <c r="B76" t="s" s="8">
        <v>101</v>
      </c>
      <c r="C76" s="9"/>
      <c r="D76" s="9"/>
      <c r="E76" t="s" s="8">
        <v>14</v>
      </c>
      <c r="F76" t="s" s="8">
        <v>6</v>
      </c>
      <c r="G76" s="76"/>
      <c r="H76" t="s" s="8">
        <v>6</v>
      </c>
      <c r="I76" s="24"/>
      <c r="J76" t="s" s="8">
        <v>6</v>
      </c>
      <c r="K76" s="24"/>
      <c r="L76" t="s" s="8">
        <v>6</v>
      </c>
      <c r="M76" s="18"/>
      <c r="N76" t="s" s="8">
        <v>6</v>
      </c>
      <c r="O76" s="18"/>
      <c r="P76" t="s" s="8">
        <v>6</v>
      </c>
      <c r="Q76" s="18"/>
      <c r="R76" t="s" s="8">
        <v>6</v>
      </c>
      <c r="S76" s="23"/>
      <c r="T76" t="s" s="8">
        <v>6</v>
      </c>
      <c r="U76" s="23"/>
      <c r="V76" t="s" s="8">
        <v>6</v>
      </c>
      <c r="W76" s="23"/>
      <c r="X76" t="s" s="8">
        <v>6</v>
      </c>
      <c r="Y76" s="9"/>
      <c r="Z76" t="s" s="8">
        <v>6</v>
      </c>
      <c r="AA76" s="9"/>
      <c r="AB76" t="s" s="8">
        <v>6</v>
      </c>
      <c r="AC76" s="9"/>
      <c r="AD76" s="23"/>
      <c r="AE76" s="13"/>
      <c r="AF76" s="7"/>
    </row>
    <row r="77" ht="13.55" customHeight="1">
      <c r="A77" s="84"/>
      <c r="B77" t="s" s="8">
        <v>102</v>
      </c>
      <c r="C77" s="9"/>
      <c r="D77" s="9"/>
      <c r="E77" s="9"/>
      <c r="F77" t="s" s="8">
        <v>8</v>
      </c>
      <c r="G77" s="77"/>
      <c r="H77" t="s" s="8">
        <v>8</v>
      </c>
      <c r="I77" s="32"/>
      <c r="J77" t="s" s="8">
        <v>8</v>
      </c>
      <c r="K77" s="32"/>
      <c r="L77" t="s" s="8">
        <v>8</v>
      </c>
      <c r="M77" s="27"/>
      <c r="N77" t="s" s="8">
        <v>8</v>
      </c>
      <c r="O77" s="27"/>
      <c r="P77" t="s" s="8">
        <v>8</v>
      </c>
      <c r="Q77" s="27"/>
      <c r="R77" t="s" s="8">
        <v>8</v>
      </c>
      <c r="S77" s="9"/>
      <c r="T77" t="s" s="8">
        <v>8</v>
      </c>
      <c r="U77" s="9"/>
      <c r="V77" t="s" s="8">
        <v>8</v>
      </c>
      <c r="W77" s="9"/>
      <c r="X77" t="s" s="8">
        <v>8</v>
      </c>
      <c r="Y77" s="27"/>
      <c r="Z77" t="s" s="8">
        <v>8</v>
      </c>
      <c r="AA77" s="27"/>
      <c r="AB77" t="s" s="8">
        <v>8</v>
      </c>
      <c r="AC77" s="27"/>
      <c r="AD77" s="23" cm="1">
        <f t="array" ref="AD77">G77+I77+K77+M77+O77+Q77+S77+U77+W77+Y77+AA77+AC77</f>
      </c>
      <c r="AE77" s="13"/>
      <c r="AF77" s="7"/>
    </row>
    <row r="78" ht="13.55" customHeight="1">
      <c r="A78" s="85"/>
      <c r="B78" s="9"/>
      <c r="C78" s="9"/>
      <c r="D78" s="9"/>
      <c r="E78" s="9"/>
      <c r="F78" t="s" s="8">
        <v>10</v>
      </c>
      <c r="G78" s="78"/>
      <c r="H78" t="s" s="8">
        <v>10</v>
      </c>
      <c r="I78" s="115"/>
      <c r="J78" t="s" s="8">
        <v>10</v>
      </c>
      <c r="K78" s="115"/>
      <c r="L78" t="s" s="8">
        <v>10</v>
      </c>
      <c r="M78" s="34"/>
      <c r="N78" t="s" s="8">
        <v>10</v>
      </c>
      <c r="O78" s="34"/>
      <c r="P78" t="s" s="8">
        <v>10</v>
      </c>
      <c r="Q78" s="34"/>
      <c r="R78" t="s" s="8">
        <v>10</v>
      </c>
      <c r="S78" s="9"/>
      <c r="T78" t="s" s="8">
        <v>10</v>
      </c>
      <c r="U78" s="9"/>
      <c r="V78" t="s" s="8">
        <v>10</v>
      </c>
      <c r="W78" s="9"/>
      <c r="X78" t="s" s="8">
        <v>10</v>
      </c>
      <c r="Y78" s="46"/>
      <c r="Z78" t="s" s="8">
        <v>10</v>
      </c>
      <c r="AA78" s="46"/>
      <c r="AB78" t="s" s="8">
        <v>10</v>
      </c>
      <c r="AC78" s="46"/>
      <c r="AD78" s="72"/>
      <c r="AE78" s="7"/>
      <c r="AF78" s="7"/>
    </row>
    <row r="79" ht="13.55" customHeight="1">
      <c r="A79" s="112"/>
      <c r="B79" s="113"/>
      <c r="C79" s="65"/>
      <c r="D79" s="65"/>
      <c r="E79" s="66"/>
      <c r="F79" s="66"/>
      <c r="G79" s="67"/>
      <c r="H79" s="66"/>
      <c r="I79" s="110"/>
      <c r="J79" s="66"/>
      <c r="K79" s="116"/>
      <c r="L79" s="66"/>
      <c r="M79" s="67"/>
      <c r="N79" s="66"/>
      <c r="O79" s="67"/>
      <c r="P79" s="66"/>
      <c r="Q79" s="69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7"/>
      <c r="AE79" s="7"/>
      <c r="AF79" s="7"/>
    </row>
    <row r="80" ht="13.75" customHeight="1">
      <c r="A80" s="83">
        <v>12</v>
      </c>
      <c r="B80" t="s" s="15">
        <v>103</v>
      </c>
      <c r="C80" s="9"/>
      <c r="D80" s="9"/>
      <c r="E80" t="s" s="8">
        <v>5</v>
      </c>
      <c r="F80" t="s" s="8">
        <v>6</v>
      </c>
      <c r="G80" s="92">
        <v>1166</v>
      </c>
      <c r="H80" t="s" s="8">
        <v>6</v>
      </c>
      <c r="I80" s="23"/>
      <c r="J80" t="s" s="8">
        <v>6</v>
      </c>
      <c r="K80" s="27"/>
      <c r="L80" t="s" s="8">
        <v>6</v>
      </c>
      <c r="M80" s="18"/>
      <c r="N80" t="s" s="8">
        <v>6</v>
      </c>
      <c r="O80" s="18"/>
      <c r="P80" t="s" s="8">
        <v>6</v>
      </c>
      <c r="Q80" s="18"/>
      <c r="R80" t="s" s="8">
        <v>6</v>
      </c>
      <c r="S80" s="18"/>
      <c r="T80" t="s" s="8">
        <v>6</v>
      </c>
      <c r="U80" s="18"/>
      <c r="V80" t="s" s="8">
        <v>6</v>
      </c>
      <c r="W80" s="18"/>
      <c r="X80" t="s" s="8">
        <v>6</v>
      </c>
      <c r="Y80" s="18"/>
      <c r="Z80" t="s" s="8">
        <v>6</v>
      </c>
      <c r="AA80" s="18"/>
      <c r="AB80" t="s" s="8">
        <v>6</v>
      </c>
      <c r="AC80" s="18"/>
      <c r="AD80" s="71"/>
      <c r="AE80" s="7"/>
      <c r="AF80" s="7"/>
    </row>
    <row r="81" ht="13.55" customHeight="1">
      <c r="A81" s="84"/>
      <c r="B81" s="9"/>
      <c r="C81" s="9"/>
      <c r="D81" s="42"/>
      <c r="E81" s="9"/>
      <c r="F81" t="s" s="8">
        <v>8</v>
      </c>
      <c r="G81" s="98">
        <v>850</v>
      </c>
      <c r="H81" t="s" s="8">
        <v>8</v>
      </c>
      <c r="I81" s="27"/>
      <c r="J81" t="s" s="8">
        <v>8</v>
      </c>
      <c r="K81" s="27"/>
      <c r="L81" t="s" s="8">
        <v>8</v>
      </c>
      <c r="M81" s="27"/>
      <c r="N81" t="s" s="8">
        <v>8</v>
      </c>
      <c r="O81" s="27"/>
      <c r="P81" t="s" s="8">
        <v>8</v>
      </c>
      <c r="Q81" s="27"/>
      <c r="R81" t="s" s="8">
        <v>8</v>
      </c>
      <c r="S81" s="27"/>
      <c r="T81" t="s" s="8">
        <v>8</v>
      </c>
      <c r="U81" s="27"/>
      <c r="V81" t="s" s="8">
        <v>8</v>
      </c>
      <c r="W81" s="27"/>
      <c r="X81" t="s" s="8">
        <v>8</v>
      </c>
      <c r="Y81" s="27"/>
      <c r="Z81" t="s" s="8">
        <v>8</v>
      </c>
      <c r="AA81" s="27"/>
      <c r="AB81" t="s" s="8">
        <v>8</v>
      </c>
      <c r="AC81" s="27"/>
      <c r="AD81" s="31" cm="1">
        <f t="array" ref="AD81">G81+I81+K81+M81+O81+Q81+S81+U81+W81+Y81+AA81+AC81</f>
        <v>850</v>
      </c>
      <c r="AE81" s="50" cm="1">
        <f t="array" ref="AE81">800*9</f>
        <v>7200</v>
      </c>
      <c r="AF81" s="51" cm="1">
        <f t="array" ref="AF81">AE81-AD81</f>
        <v>6350</v>
      </c>
    </row>
    <row r="82" ht="13.55" customHeight="1">
      <c r="A82" s="84"/>
      <c r="B82" s="23"/>
      <c r="C82" t="s" s="8">
        <v>9</v>
      </c>
      <c r="D82" s="25">
        <v>1000</v>
      </c>
      <c r="E82" s="9"/>
      <c r="F82" t="s" s="8">
        <v>10</v>
      </c>
      <c r="G82" t="s" s="33">
        <v>70</v>
      </c>
      <c r="H82" t="s" s="8">
        <v>10</v>
      </c>
      <c r="I82" s="34"/>
      <c r="J82" t="s" s="8">
        <v>10</v>
      </c>
      <c r="K82" s="27"/>
      <c r="L82" t="s" s="8">
        <v>10</v>
      </c>
      <c r="M82" s="34"/>
      <c r="N82" t="s" s="8">
        <v>10</v>
      </c>
      <c r="O82" s="34"/>
      <c r="P82" t="s" s="8">
        <v>10</v>
      </c>
      <c r="Q82" s="34"/>
      <c r="R82" t="s" s="8">
        <v>10</v>
      </c>
      <c r="S82" s="34"/>
      <c r="T82" t="s" s="8">
        <v>10</v>
      </c>
      <c r="U82" s="34"/>
      <c r="V82" t="s" s="8">
        <v>10</v>
      </c>
      <c r="W82" s="34"/>
      <c r="X82" t="s" s="8">
        <v>10</v>
      </c>
      <c r="Y82" s="34"/>
      <c r="Z82" t="s" s="8">
        <v>10</v>
      </c>
      <c r="AA82" s="34"/>
      <c r="AB82" t="s" s="8">
        <v>10</v>
      </c>
      <c r="AC82" s="34"/>
      <c r="AD82" s="23"/>
      <c r="AE82" s="13"/>
      <c r="AF82" s="7"/>
    </row>
    <row r="83" ht="13.75" customHeight="1">
      <c r="A83" s="84"/>
      <c r="B83" t="s" s="8">
        <v>104</v>
      </c>
      <c r="C83" s="9"/>
      <c r="D83" s="9"/>
      <c r="E83" t="s" s="8">
        <v>14</v>
      </c>
      <c r="F83" t="s" s="8">
        <v>6</v>
      </c>
      <c r="G83" s="16">
        <v>2082</v>
      </c>
      <c r="H83" t="s" s="8">
        <v>6</v>
      </c>
      <c r="I83" s="23"/>
      <c r="J83" t="s" s="8">
        <v>6</v>
      </c>
      <c r="K83" s="23"/>
      <c r="L83" t="s" s="8">
        <v>6</v>
      </c>
      <c r="M83" s="18"/>
      <c r="N83" t="s" s="8">
        <v>6</v>
      </c>
      <c r="O83" s="18"/>
      <c r="P83" t="s" s="8">
        <v>6</v>
      </c>
      <c r="Q83" s="18"/>
      <c r="R83" t="s" s="8">
        <v>6</v>
      </c>
      <c r="S83" s="18"/>
      <c r="T83" t="s" s="8">
        <v>6</v>
      </c>
      <c r="U83" s="18"/>
      <c r="V83" t="s" s="8">
        <v>6</v>
      </c>
      <c r="W83" s="18"/>
      <c r="X83" t="s" s="8">
        <v>6</v>
      </c>
      <c r="Y83" s="23"/>
      <c r="Z83" t="s" s="8">
        <v>6</v>
      </c>
      <c r="AA83" s="23"/>
      <c r="AB83" t="s" s="8">
        <v>6</v>
      </c>
      <c r="AC83" s="23"/>
      <c r="AD83" s="23"/>
      <c r="AE83" s="13"/>
      <c r="AF83" s="7"/>
    </row>
    <row r="84" ht="13.55" customHeight="1">
      <c r="A84" s="84"/>
      <c r="B84" t="s" s="8">
        <v>105</v>
      </c>
      <c r="C84" s="9"/>
      <c r="D84" s="9"/>
      <c r="E84" s="9"/>
      <c r="F84" t="s" s="8">
        <v>8</v>
      </c>
      <c r="G84" s="26">
        <v>600</v>
      </c>
      <c r="H84" t="s" s="8">
        <v>8</v>
      </c>
      <c r="I84" s="24"/>
      <c r="J84" t="s" s="8">
        <v>8</v>
      </c>
      <c r="K84" s="24"/>
      <c r="L84" t="s" s="8">
        <v>8</v>
      </c>
      <c r="M84" s="27"/>
      <c r="N84" t="s" s="8">
        <v>8</v>
      </c>
      <c r="O84" s="27"/>
      <c r="P84" t="s" s="8">
        <v>8</v>
      </c>
      <c r="Q84" s="27"/>
      <c r="R84" t="s" s="8">
        <v>8</v>
      </c>
      <c r="S84" s="27"/>
      <c r="T84" t="s" s="8">
        <v>8</v>
      </c>
      <c r="U84" s="27"/>
      <c r="V84" t="s" s="8">
        <v>8</v>
      </c>
      <c r="W84" s="27"/>
      <c r="X84" t="s" s="8">
        <v>8</v>
      </c>
      <c r="Y84" s="27"/>
      <c r="Z84" t="s" s="8">
        <v>8</v>
      </c>
      <c r="AA84" s="27"/>
      <c r="AB84" t="s" s="8">
        <v>8</v>
      </c>
      <c r="AC84" s="27"/>
      <c r="AD84" s="43"/>
      <c r="AE84" s="50" cm="1">
        <f t="array" ref="AE84">500*9</f>
        <v>4500</v>
      </c>
      <c r="AF84" s="53" cm="1">
        <f t="array" ref="AF84">AE84-AD84</f>
        <v>4500</v>
      </c>
    </row>
    <row r="85" ht="13.55" customHeight="1">
      <c r="A85" s="85"/>
      <c r="B85" s="9"/>
      <c r="C85" s="9"/>
      <c r="D85" s="9"/>
      <c r="E85" s="9"/>
      <c r="F85" t="s" s="8">
        <v>10</v>
      </c>
      <c r="G85" t="s" s="33">
        <v>70</v>
      </c>
      <c r="H85" t="s" s="8">
        <v>10</v>
      </c>
      <c r="I85" s="115"/>
      <c r="J85" t="s" s="8">
        <v>10</v>
      </c>
      <c r="K85" s="115"/>
      <c r="L85" t="s" s="8">
        <v>10</v>
      </c>
      <c r="M85" s="34"/>
      <c r="N85" t="s" s="8">
        <v>10</v>
      </c>
      <c r="O85" s="34"/>
      <c r="P85" t="s" s="8">
        <v>10</v>
      </c>
      <c r="Q85" s="34"/>
      <c r="R85" t="s" s="8">
        <v>10</v>
      </c>
      <c r="S85" s="34"/>
      <c r="T85" t="s" s="8">
        <v>10</v>
      </c>
      <c r="U85" s="34"/>
      <c r="V85" t="s" s="8">
        <v>10</v>
      </c>
      <c r="W85" s="34"/>
      <c r="X85" t="s" s="8">
        <v>10</v>
      </c>
      <c r="Y85" s="34"/>
      <c r="Z85" t="s" s="8">
        <v>10</v>
      </c>
      <c r="AA85" s="34"/>
      <c r="AB85" t="s" s="8">
        <v>10</v>
      </c>
      <c r="AC85" s="34"/>
      <c r="AD85" s="72"/>
      <c r="AE85" s="7"/>
      <c r="AF85" s="7"/>
    </row>
    <row r="86" ht="13.55" customHeight="1">
      <c r="A86" s="112"/>
      <c r="B86" s="113"/>
      <c r="C86" s="65"/>
      <c r="D86" s="65"/>
      <c r="E86" s="66"/>
      <c r="F86" s="66"/>
      <c r="G86" s="67"/>
      <c r="H86" s="66"/>
      <c r="I86" s="110"/>
      <c r="J86" s="66"/>
      <c r="K86" s="116"/>
      <c r="L86" s="66"/>
      <c r="M86" s="67"/>
      <c r="N86" s="66"/>
      <c r="O86" s="67"/>
      <c r="P86" s="66"/>
      <c r="Q86" s="69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7"/>
      <c r="AE86" s="7"/>
      <c r="AF86" s="7"/>
    </row>
    <row r="87" ht="13.75" customHeight="1">
      <c r="A87" s="83">
        <v>13</v>
      </c>
      <c r="B87" t="s" s="15">
        <v>106</v>
      </c>
      <c r="C87" s="9"/>
      <c r="D87" s="9"/>
      <c r="E87" t="s" s="8">
        <v>5</v>
      </c>
      <c r="F87" t="s" s="8">
        <v>6</v>
      </c>
      <c r="G87" s="92">
        <v>1138</v>
      </c>
      <c r="H87" t="s" s="8">
        <v>6</v>
      </c>
      <c r="I87" s="92">
        <v>3257</v>
      </c>
      <c r="J87" t="s" s="8">
        <v>6</v>
      </c>
      <c r="K87" s="27"/>
      <c r="L87" t="s" s="8">
        <v>6</v>
      </c>
      <c r="M87" s="18"/>
      <c r="N87" t="s" s="8">
        <v>6</v>
      </c>
      <c r="O87" s="18"/>
      <c r="P87" t="s" s="8">
        <v>6</v>
      </c>
      <c r="Q87" s="18"/>
      <c r="R87" t="s" s="8">
        <v>6</v>
      </c>
      <c r="S87" s="18"/>
      <c r="T87" t="s" s="8">
        <v>6</v>
      </c>
      <c r="U87" s="18"/>
      <c r="V87" t="s" s="8">
        <v>6</v>
      </c>
      <c r="W87" s="18"/>
      <c r="X87" t="s" s="8">
        <v>6</v>
      </c>
      <c r="Y87" s="18"/>
      <c r="Z87" t="s" s="8">
        <v>6</v>
      </c>
      <c r="AA87" s="18"/>
      <c r="AB87" t="s" s="8">
        <v>6</v>
      </c>
      <c r="AC87" s="18"/>
      <c r="AD87" s="71"/>
      <c r="AE87" s="7"/>
      <c r="AF87" s="7"/>
    </row>
    <row r="88" ht="13.55" customHeight="1">
      <c r="A88" s="84"/>
      <c r="B88" s="9"/>
      <c r="C88" s="9"/>
      <c r="D88" s="42"/>
      <c r="E88" s="9"/>
      <c r="F88" t="s" s="8">
        <v>8</v>
      </c>
      <c r="G88" s="98">
        <v>850</v>
      </c>
      <c r="H88" t="s" s="8">
        <v>8</v>
      </c>
      <c r="I88" s="98">
        <v>850</v>
      </c>
      <c r="J88" t="s" s="8">
        <v>8</v>
      </c>
      <c r="K88" s="27"/>
      <c r="L88" t="s" s="8">
        <v>8</v>
      </c>
      <c r="M88" s="27"/>
      <c r="N88" t="s" s="8">
        <v>8</v>
      </c>
      <c r="O88" s="27"/>
      <c r="P88" t="s" s="8">
        <v>8</v>
      </c>
      <c r="Q88" s="27"/>
      <c r="R88" t="s" s="8">
        <v>8</v>
      </c>
      <c r="S88" s="27"/>
      <c r="T88" t="s" s="8">
        <v>8</v>
      </c>
      <c r="U88" s="27"/>
      <c r="V88" t="s" s="8">
        <v>8</v>
      </c>
      <c r="W88" s="27"/>
      <c r="X88" t="s" s="8">
        <v>8</v>
      </c>
      <c r="Y88" s="27"/>
      <c r="Z88" t="s" s="8">
        <v>8</v>
      </c>
      <c r="AA88" s="27"/>
      <c r="AB88" t="s" s="8">
        <v>8</v>
      </c>
      <c r="AC88" s="27"/>
      <c r="AD88" s="31" cm="1">
        <f t="array" ref="AD88">G88+I88+K88+M88+O88+Q88+S88+U88+W88+Y88+AA88+AC88</f>
        <v>1700</v>
      </c>
      <c r="AE88" s="50" cm="1">
        <f t="array" ref="AE88">800*9</f>
        <v>7200</v>
      </c>
      <c r="AF88" s="51" cm="1">
        <f t="array" ref="AF88">AE88-AD88</f>
        <v>5500</v>
      </c>
    </row>
    <row r="89" ht="13.55" customHeight="1">
      <c r="A89" s="84"/>
      <c r="B89" s="23"/>
      <c r="C89" t="s" s="8">
        <v>9</v>
      </c>
      <c r="D89" s="25">
        <v>1000</v>
      </c>
      <c r="E89" s="9"/>
      <c r="F89" t="s" s="8">
        <v>10</v>
      </c>
      <c r="G89" t="s" s="33">
        <v>31</v>
      </c>
      <c r="H89" t="s" s="8">
        <v>10</v>
      </c>
      <c r="I89" t="s" s="33">
        <v>35</v>
      </c>
      <c r="J89" t="s" s="8">
        <v>10</v>
      </c>
      <c r="K89" s="27"/>
      <c r="L89" t="s" s="8">
        <v>10</v>
      </c>
      <c r="M89" s="34"/>
      <c r="N89" t="s" s="8">
        <v>10</v>
      </c>
      <c r="O89" s="34"/>
      <c r="P89" t="s" s="8">
        <v>10</v>
      </c>
      <c r="Q89" s="34"/>
      <c r="R89" t="s" s="8">
        <v>10</v>
      </c>
      <c r="S89" s="34"/>
      <c r="T89" t="s" s="8">
        <v>10</v>
      </c>
      <c r="U89" s="34"/>
      <c r="V89" t="s" s="8">
        <v>10</v>
      </c>
      <c r="W89" s="34"/>
      <c r="X89" t="s" s="8">
        <v>10</v>
      </c>
      <c r="Y89" s="34"/>
      <c r="Z89" t="s" s="8">
        <v>10</v>
      </c>
      <c r="AA89" s="34"/>
      <c r="AB89" t="s" s="8">
        <v>10</v>
      </c>
      <c r="AC89" s="34"/>
      <c r="AD89" s="23"/>
      <c r="AE89" s="13"/>
      <c r="AF89" s="7"/>
    </row>
    <row r="90" ht="13.75" customHeight="1">
      <c r="A90" s="84"/>
      <c r="B90" t="s" s="8">
        <v>107</v>
      </c>
      <c r="C90" s="9"/>
      <c r="D90" s="9"/>
      <c r="E90" t="s" s="8">
        <v>14</v>
      </c>
      <c r="F90" t="s" s="8">
        <v>6</v>
      </c>
      <c r="G90" s="76"/>
      <c r="H90" t="s" s="8">
        <v>6</v>
      </c>
      <c r="I90" s="24"/>
      <c r="J90" t="s" s="8">
        <v>6</v>
      </c>
      <c r="K90" s="24"/>
      <c r="L90" t="s" s="8">
        <v>6</v>
      </c>
      <c r="M90" s="18"/>
      <c r="N90" t="s" s="8">
        <v>6</v>
      </c>
      <c r="O90" s="18"/>
      <c r="P90" t="s" s="8">
        <v>6</v>
      </c>
      <c r="Q90" s="18"/>
      <c r="R90" t="s" s="8">
        <v>6</v>
      </c>
      <c r="S90" s="23"/>
      <c r="T90" t="s" s="8">
        <v>6</v>
      </c>
      <c r="U90" s="23"/>
      <c r="V90" t="s" s="8">
        <v>6</v>
      </c>
      <c r="W90" s="23"/>
      <c r="X90" t="s" s="8">
        <v>6</v>
      </c>
      <c r="Y90" s="9"/>
      <c r="Z90" t="s" s="8">
        <v>6</v>
      </c>
      <c r="AA90" s="9"/>
      <c r="AB90" t="s" s="8">
        <v>6</v>
      </c>
      <c r="AC90" s="9"/>
      <c r="AD90" s="23"/>
      <c r="AE90" s="13"/>
      <c r="AF90" s="7"/>
    </row>
    <row r="91" ht="13.55" customHeight="1">
      <c r="A91" s="84"/>
      <c r="B91" t="s" s="8">
        <v>108</v>
      </c>
      <c r="C91" s="9"/>
      <c r="D91" s="9"/>
      <c r="E91" s="9"/>
      <c r="F91" t="s" s="8">
        <v>8</v>
      </c>
      <c r="G91" s="77"/>
      <c r="H91" t="s" s="8">
        <v>8</v>
      </c>
      <c r="I91" s="32"/>
      <c r="J91" t="s" s="8">
        <v>8</v>
      </c>
      <c r="K91" s="32"/>
      <c r="L91" t="s" s="8">
        <v>8</v>
      </c>
      <c r="M91" s="27"/>
      <c r="N91" t="s" s="8">
        <v>8</v>
      </c>
      <c r="O91" s="27"/>
      <c r="P91" t="s" s="8">
        <v>8</v>
      </c>
      <c r="Q91" s="27"/>
      <c r="R91" t="s" s="8">
        <v>8</v>
      </c>
      <c r="S91" s="9"/>
      <c r="T91" t="s" s="8">
        <v>8</v>
      </c>
      <c r="U91" s="9"/>
      <c r="V91" t="s" s="8">
        <v>8</v>
      </c>
      <c r="W91" s="9"/>
      <c r="X91" t="s" s="8">
        <v>8</v>
      </c>
      <c r="Y91" s="27"/>
      <c r="Z91" t="s" s="8">
        <v>8</v>
      </c>
      <c r="AA91" s="27"/>
      <c r="AB91" t="s" s="8">
        <v>8</v>
      </c>
      <c r="AC91" s="27"/>
      <c r="AD91" s="23" cm="1">
        <f t="array" ref="AD91">G91+I91+K91+M91+O91+Q91+S91+U91+W91+Y91+AA91+AC91</f>
      </c>
      <c r="AE91" s="13"/>
      <c r="AF91" s="7"/>
    </row>
    <row r="92" ht="13.55" customHeight="1">
      <c r="A92" s="85"/>
      <c r="B92" s="9"/>
      <c r="C92" s="9"/>
      <c r="D92" s="9"/>
      <c r="E92" s="9"/>
      <c r="F92" t="s" s="8">
        <v>10</v>
      </c>
      <c r="G92" s="78"/>
      <c r="H92" t="s" s="8">
        <v>10</v>
      </c>
      <c r="I92" s="115"/>
      <c r="J92" t="s" s="8">
        <v>10</v>
      </c>
      <c r="K92" s="115"/>
      <c r="L92" t="s" s="8">
        <v>10</v>
      </c>
      <c r="M92" s="34"/>
      <c r="N92" t="s" s="8">
        <v>10</v>
      </c>
      <c r="O92" s="34"/>
      <c r="P92" t="s" s="8">
        <v>10</v>
      </c>
      <c r="Q92" s="34"/>
      <c r="R92" t="s" s="8">
        <v>10</v>
      </c>
      <c r="S92" s="9"/>
      <c r="T92" t="s" s="8">
        <v>10</v>
      </c>
      <c r="U92" s="9"/>
      <c r="V92" t="s" s="8">
        <v>10</v>
      </c>
      <c r="W92" s="9"/>
      <c r="X92" t="s" s="8">
        <v>10</v>
      </c>
      <c r="Y92" s="46"/>
      <c r="Z92" t="s" s="8">
        <v>10</v>
      </c>
      <c r="AA92" s="46"/>
      <c r="AB92" t="s" s="8">
        <v>10</v>
      </c>
      <c r="AC92" s="46"/>
      <c r="AD92" s="72"/>
      <c r="AE92" s="7"/>
      <c r="AF92" s="7"/>
    </row>
    <row r="93" ht="13.55" customHeight="1">
      <c r="A93" s="112"/>
      <c r="B93" s="113"/>
      <c r="C93" s="65"/>
      <c r="D93" s="65"/>
      <c r="E93" s="66"/>
      <c r="F93" s="66"/>
      <c r="G93" s="67"/>
      <c r="H93" s="66"/>
      <c r="I93" s="110"/>
      <c r="J93" s="66"/>
      <c r="K93" s="116"/>
      <c r="L93" s="66"/>
      <c r="M93" s="67"/>
      <c r="N93" s="66"/>
      <c r="O93" s="67"/>
      <c r="P93" s="66"/>
      <c r="Q93" s="69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7"/>
      <c r="AE93" s="7"/>
      <c r="AF93" s="7"/>
    </row>
    <row r="94" ht="13.75" customHeight="1">
      <c r="A94" s="83">
        <v>14</v>
      </c>
      <c r="B94" t="s" s="15">
        <v>109</v>
      </c>
      <c r="C94" s="9"/>
      <c r="D94" s="9"/>
      <c r="E94" t="s" s="8">
        <v>5</v>
      </c>
      <c r="F94" t="s" s="8">
        <v>6</v>
      </c>
      <c r="G94" s="92">
        <v>1169</v>
      </c>
      <c r="H94" t="s" s="8">
        <v>6</v>
      </c>
      <c r="I94" s="92">
        <v>1169</v>
      </c>
      <c r="J94" t="s" s="8">
        <v>6</v>
      </c>
      <c r="K94" s="92">
        <v>1169</v>
      </c>
      <c r="L94" t="s" s="8">
        <v>6</v>
      </c>
      <c r="M94" s="18"/>
      <c r="N94" t="s" s="8">
        <v>6</v>
      </c>
      <c r="O94" s="18"/>
      <c r="P94" t="s" s="8">
        <v>6</v>
      </c>
      <c r="Q94" s="18"/>
      <c r="R94" t="s" s="8">
        <v>6</v>
      </c>
      <c r="S94" s="18"/>
      <c r="T94" t="s" s="8">
        <v>6</v>
      </c>
      <c r="U94" s="18"/>
      <c r="V94" t="s" s="8">
        <v>6</v>
      </c>
      <c r="W94" s="18"/>
      <c r="X94" t="s" s="8">
        <v>6</v>
      </c>
      <c r="Y94" s="18"/>
      <c r="Z94" t="s" s="8">
        <v>6</v>
      </c>
      <c r="AA94" s="18"/>
      <c r="AB94" t="s" s="8">
        <v>6</v>
      </c>
      <c r="AC94" s="18"/>
      <c r="AD94" s="71"/>
      <c r="AE94" s="7"/>
      <c r="AF94" s="7"/>
    </row>
    <row r="95" ht="13.55" customHeight="1">
      <c r="A95" s="84"/>
      <c r="B95" s="9"/>
      <c r="C95" s="9"/>
      <c r="D95" s="42"/>
      <c r="E95" s="9"/>
      <c r="F95" t="s" s="8">
        <v>8</v>
      </c>
      <c r="G95" s="98">
        <v>850</v>
      </c>
      <c r="H95" t="s" s="8">
        <v>8</v>
      </c>
      <c r="I95" s="98">
        <v>850</v>
      </c>
      <c r="J95" t="s" s="8">
        <v>8</v>
      </c>
      <c r="K95" s="98">
        <v>850</v>
      </c>
      <c r="L95" t="s" s="8">
        <v>8</v>
      </c>
      <c r="M95" s="27"/>
      <c r="N95" t="s" s="8">
        <v>8</v>
      </c>
      <c r="O95" s="27"/>
      <c r="P95" t="s" s="8">
        <v>8</v>
      </c>
      <c r="Q95" s="27"/>
      <c r="R95" t="s" s="8">
        <v>8</v>
      </c>
      <c r="S95" s="27"/>
      <c r="T95" t="s" s="8">
        <v>8</v>
      </c>
      <c r="U95" s="27"/>
      <c r="V95" t="s" s="8">
        <v>8</v>
      </c>
      <c r="W95" s="27"/>
      <c r="X95" t="s" s="8">
        <v>8</v>
      </c>
      <c r="Y95" s="27"/>
      <c r="Z95" t="s" s="8">
        <v>8</v>
      </c>
      <c r="AA95" s="27"/>
      <c r="AB95" t="s" s="8">
        <v>8</v>
      </c>
      <c r="AC95" s="27"/>
      <c r="AD95" s="31" cm="1">
        <f t="array" ref="AD95">G95+I95+K95+M95+O95+Q95+S95+U95+W95+Y95+AA95+AC95</f>
        <v>2550</v>
      </c>
      <c r="AE95" s="50" cm="1">
        <f t="array" ref="AE95">800*9</f>
        <v>7200</v>
      </c>
      <c r="AF95" s="51" cm="1">
        <f t="array" ref="AF95">AE95-AD95</f>
        <v>4650</v>
      </c>
    </row>
    <row r="96" ht="13.55" customHeight="1">
      <c r="A96" s="84"/>
      <c r="B96" s="23"/>
      <c r="C96" t="s" s="8">
        <v>9</v>
      </c>
      <c r="D96" s="25">
        <v>1000</v>
      </c>
      <c r="E96" s="9"/>
      <c r="F96" t="s" s="8">
        <v>10</v>
      </c>
      <c r="G96" t="s" s="33">
        <v>70</v>
      </c>
      <c r="H96" t="s" s="8">
        <v>10</v>
      </c>
      <c r="I96" t="s" s="33">
        <v>70</v>
      </c>
      <c r="J96" t="s" s="8">
        <v>10</v>
      </c>
      <c r="K96" t="s" s="33">
        <v>70</v>
      </c>
      <c r="L96" t="s" s="8">
        <v>10</v>
      </c>
      <c r="M96" s="34"/>
      <c r="N96" t="s" s="8">
        <v>10</v>
      </c>
      <c r="O96" s="34"/>
      <c r="P96" t="s" s="8">
        <v>10</v>
      </c>
      <c r="Q96" s="34"/>
      <c r="R96" t="s" s="8">
        <v>10</v>
      </c>
      <c r="S96" s="34"/>
      <c r="T96" t="s" s="8">
        <v>10</v>
      </c>
      <c r="U96" s="34"/>
      <c r="V96" t="s" s="8">
        <v>10</v>
      </c>
      <c r="W96" s="34"/>
      <c r="X96" t="s" s="8">
        <v>10</v>
      </c>
      <c r="Y96" s="34"/>
      <c r="Z96" t="s" s="8">
        <v>10</v>
      </c>
      <c r="AA96" s="34"/>
      <c r="AB96" t="s" s="8">
        <v>10</v>
      </c>
      <c r="AC96" s="34"/>
      <c r="AD96" s="23"/>
      <c r="AE96" s="13"/>
      <c r="AF96" s="7"/>
    </row>
    <row r="97" ht="13.75" customHeight="1">
      <c r="A97" s="84"/>
      <c r="B97" t="s" s="8">
        <v>110</v>
      </c>
      <c r="C97" s="9"/>
      <c r="D97" s="9"/>
      <c r="E97" t="s" s="8">
        <v>14</v>
      </c>
      <c r="F97" t="s" s="8">
        <v>6</v>
      </c>
      <c r="G97" s="76"/>
      <c r="H97" t="s" s="8">
        <v>6</v>
      </c>
      <c r="I97" s="24"/>
      <c r="J97" t="s" s="8">
        <v>6</v>
      </c>
      <c r="K97" s="24"/>
      <c r="L97" t="s" s="8">
        <v>6</v>
      </c>
      <c r="M97" s="18"/>
      <c r="N97" t="s" s="8">
        <v>6</v>
      </c>
      <c r="O97" s="18"/>
      <c r="P97" t="s" s="8">
        <v>6</v>
      </c>
      <c r="Q97" s="18"/>
      <c r="R97" t="s" s="8">
        <v>6</v>
      </c>
      <c r="S97" s="23"/>
      <c r="T97" t="s" s="8">
        <v>6</v>
      </c>
      <c r="U97" s="23"/>
      <c r="V97" t="s" s="8">
        <v>6</v>
      </c>
      <c r="W97" s="23"/>
      <c r="X97" t="s" s="8">
        <v>6</v>
      </c>
      <c r="Y97" s="9"/>
      <c r="Z97" t="s" s="8">
        <v>6</v>
      </c>
      <c r="AA97" s="9"/>
      <c r="AB97" t="s" s="8">
        <v>6</v>
      </c>
      <c r="AC97" s="9"/>
      <c r="AD97" s="23"/>
      <c r="AE97" s="13"/>
      <c r="AF97" s="7"/>
    </row>
    <row r="98" ht="13.55" customHeight="1">
      <c r="A98" s="84"/>
      <c r="B98" t="s" s="8">
        <v>111</v>
      </c>
      <c r="C98" s="9"/>
      <c r="D98" s="9"/>
      <c r="E98" s="9"/>
      <c r="F98" t="s" s="8">
        <v>8</v>
      </c>
      <c r="G98" s="77"/>
      <c r="H98" t="s" s="8">
        <v>8</v>
      </c>
      <c r="I98" s="32"/>
      <c r="J98" t="s" s="8">
        <v>8</v>
      </c>
      <c r="K98" s="32"/>
      <c r="L98" t="s" s="8">
        <v>8</v>
      </c>
      <c r="M98" s="27"/>
      <c r="N98" t="s" s="8">
        <v>8</v>
      </c>
      <c r="O98" s="27"/>
      <c r="P98" t="s" s="8">
        <v>8</v>
      </c>
      <c r="Q98" s="27"/>
      <c r="R98" t="s" s="8">
        <v>8</v>
      </c>
      <c r="S98" s="9"/>
      <c r="T98" t="s" s="8">
        <v>8</v>
      </c>
      <c r="U98" s="9"/>
      <c r="V98" t="s" s="8">
        <v>8</v>
      </c>
      <c r="W98" s="9"/>
      <c r="X98" t="s" s="8">
        <v>8</v>
      </c>
      <c r="Y98" s="27"/>
      <c r="Z98" t="s" s="8">
        <v>8</v>
      </c>
      <c r="AA98" s="27"/>
      <c r="AB98" t="s" s="8">
        <v>8</v>
      </c>
      <c r="AC98" s="27"/>
      <c r="AD98" s="23" cm="1">
        <f t="array" ref="AD98">G98+I98+K98+M98+O98+Q98+S98+U98+W98+Y98+AA98+AC98</f>
      </c>
      <c r="AE98" s="13"/>
      <c r="AF98" s="7"/>
    </row>
    <row r="99" ht="13.55" customHeight="1">
      <c r="A99" s="85"/>
      <c r="B99" s="9"/>
      <c r="C99" s="9"/>
      <c r="D99" s="9"/>
      <c r="E99" s="9"/>
      <c r="F99" t="s" s="8">
        <v>10</v>
      </c>
      <c r="G99" s="78"/>
      <c r="H99" t="s" s="8">
        <v>10</v>
      </c>
      <c r="I99" s="115"/>
      <c r="J99" t="s" s="8">
        <v>10</v>
      </c>
      <c r="K99" s="115"/>
      <c r="L99" t="s" s="8">
        <v>10</v>
      </c>
      <c r="M99" s="34"/>
      <c r="N99" t="s" s="8">
        <v>10</v>
      </c>
      <c r="O99" s="34"/>
      <c r="P99" t="s" s="8">
        <v>10</v>
      </c>
      <c r="Q99" s="34"/>
      <c r="R99" t="s" s="8">
        <v>10</v>
      </c>
      <c r="S99" s="9"/>
      <c r="T99" t="s" s="8">
        <v>10</v>
      </c>
      <c r="U99" s="9"/>
      <c r="V99" t="s" s="8">
        <v>10</v>
      </c>
      <c r="W99" s="9"/>
      <c r="X99" t="s" s="8">
        <v>10</v>
      </c>
      <c r="Y99" s="46"/>
      <c r="Z99" t="s" s="8">
        <v>10</v>
      </c>
      <c r="AA99" s="46"/>
      <c r="AB99" t="s" s="8">
        <v>10</v>
      </c>
      <c r="AC99" s="46"/>
      <c r="AD99" s="72"/>
      <c r="AE99" s="7"/>
      <c r="AF99" s="7"/>
    </row>
    <row r="100" ht="13.55" customHeight="1">
      <c r="A100" s="112"/>
      <c r="B100" s="113"/>
      <c r="C100" s="65"/>
      <c r="D100" s="65"/>
      <c r="E100" s="66"/>
      <c r="F100" s="66"/>
      <c r="G100" s="67"/>
      <c r="H100" s="66"/>
      <c r="I100" s="80"/>
      <c r="J100" s="66"/>
      <c r="K100" s="116"/>
      <c r="L100" s="66"/>
      <c r="M100" s="67"/>
      <c r="N100" s="66"/>
      <c r="O100" s="67"/>
      <c r="P100" s="66"/>
      <c r="Q100" s="69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7"/>
      <c r="AE100" s="7"/>
      <c r="AF100" s="7"/>
    </row>
    <row r="101" ht="13.75" customHeight="1">
      <c r="A101" s="83">
        <v>15</v>
      </c>
      <c r="B101" t="s" s="15">
        <v>112</v>
      </c>
      <c r="C101" s="9"/>
      <c r="D101" s="9"/>
      <c r="E101" t="s" s="8">
        <v>5</v>
      </c>
      <c r="F101" t="s" s="8">
        <v>6</v>
      </c>
      <c r="G101" s="92">
        <v>1127</v>
      </c>
      <c r="H101" t="s" s="8">
        <v>6</v>
      </c>
      <c r="I101" s="117">
        <v>3186</v>
      </c>
      <c r="J101" t="s" s="8">
        <v>6</v>
      </c>
      <c r="K101" s="31">
        <v>3186</v>
      </c>
      <c r="L101" t="s" s="8">
        <v>6</v>
      </c>
      <c r="M101" s="31">
        <v>3186</v>
      </c>
      <c r="N101" t="s" s="8">
        <v>6</v>
      </c>
      <c r="O101" s="18"/>
      <c r="P101" t="s" s="8">
        <v>6</v>
      </c>
      <c r="Q101" s="18"/>
      <c r="R101" t="s" s="8">
        <v>6</v>
      </c>
      <c r="S101" s="18"/>
      <c r="T101" t="s" s="8">
        <v>6</v>
      </c>
      <c r="U101" s="18"/>
      <c r="V101" t="s" s="8">
        <v>6</v>
      </c>
      <c r="W101" s="18"/>
      <c r="X101" t="s" s="8">
        <v>6</v>
      </c>
      <c r="Y101" s="18"/>
      <c r="Z101" t="s" s="8">
        <v>6</v>
      </c>
      <c r="AA101" s="18"/>
      <c r="AB101" t="s" s="8">
        <v>6</v>
      </c>
      <c r="AC101" s="18"/>
      <c r="AD101" s="71"/>
      <c r="AE101" s="7"/>
      <c r="AF101" s="7"/>
    </row>
    <row r="102" ht="13.55" customHeight="1">
      <c r="A102" s="84"/>
      <c r="B102" s="23"/>
      <c r="C102" s="9"/>
      <c r="D102" s="42"/>
      <c r="E102" s="9"/>
      <c r="F102" t="s" s="8">
        <v>8</v>
      </c>
      <c r="G102" s="98">
        <v>425</v>
      </c>
      <c r="H102" t="s" s="8">
        <v>8</v>
      </c>
      <c r="I102" s="118">
        <v>425</v>
      </c>
      <c r="J102" t="s" s="8">
        <v>8</v>
      </c>
      <c r="K102" s="26">
        <v>425</v>
      </c>
      <c r="L102" t="s" s="8">
        <v>8</v>
      </c>
      <c r="M102" s="26">
        <v>425</v>
      </c>
      <c r="N102" t="s" s="8">
        <v>8</v>
      </c>
      <c r="O102" s="27"/>
      <c r="P102" t="s" s="8">
        <v>8</v>
      </c>
      <c r="Q102" s="27"/>
      <c r="R102" t="s" s="8">
        <v>8</v>
      </c>
      <c r="S102" s="27"/>
      <c r="T102" t="s" s="8">
        <v>8</v>
      </c>
      <c r="U102" s="27"/>
      <c r="V102" t="s" s="8">
        <v>8</v>
      </c>
      <c r="W102" s="27"/>
      <c r="X102" t="s" s="8">
        <v>8</v>
      </c>
      <c r="Y102" s="27"/>
      <c r="Z102" t="s" s="8">
        <v>8</v>
      </c>
      <c r="AA102" s="27"/>
      <c r="AB102" t="s" s="8">
        <v>8</v>
      </c>
      <c r="AC102" s="27"/>
      <c r="AD102" s="31" cm="1">
        <f t="array" ref="AD102">G102+I102+K102+M102+O102+Q102+S102+U102+W102+Y102+AA102+AC102</f>
        <v>1700</v>
      </c>
      <c r="AE102" s="50" cm="1">
        <f t="array" ref="AE102">400*9</f>
        <v>3600</v>
      </c>
      <c r="AF102" s="51" cm="1">
        <f t="array" ref="AF102">AE102-AD102</f>
        <v>1900</v>
      </c>
    </row>
    <row r="103" ht="13.75" customHeight="1">
      <c r="A103" s="84"/>
      <c r="B103" t="s" s="87">
        <v>113</v>
      </c>
      <c r="C103" t="s" s="8">
        <v>9</v>
      </c>
      <c r="D103" s="25">
        <v>1000</v>
      </c>
      <c r="E103" s="9"/>
      <c r="F103" t="s" s="8">
        <v>10</v>
      </c>
      <c r="G103" t="s" s="33">
        <v>93</v>
      </c>
      <c r="H103" t="s" s="8">
        <v>10</v>
      </c>
      <c r="I103" t="s" s="119">
        <v>24</v>
      </c>
      <c r="J103" t="s" s="8">
        <v>10</v>
      </c>
      <c r="K103" t="s" s="33">
        <v>24</v>
      </c>
      <c r="L103" t="s" s="8">
        <v>10</v>
      </c>
      <c r="M103" t="s" s="33">
        <v>24</v>
      </c>
      <c r="N103" t="s" s="8">
        <v>10</v>
      </c>
      <c r="O103" s="34"/>
      <c r="P103" t="s" s="8">
        <v>10</v>
      </c>
      <c r="Q103" s="34"/>
      <c r="R103" t="s" s="8">
        <v>10</v>
      </c>
      <c r="S103" s="34"/>
      <c r="T103" t="s" s="8">
        <v>10</v>
      </c>
      <c r="U103" s="34"/>
      <c r="V103" t="s" s="8">
        <v>10</v>
      </c>
      <c r="W103" s="34"/>
      <c r="X103" t="s" s="8">
        <v>10</v>
      </c>
      <c r="Y103" s="34"/>
      <c r="Z103" t="s" s="8">
        <v>10</v>
      </c>
      <c r="AA103" s="34"/>
      <c r="AB103" t="s" s="8">
        <v>10</v>
      </c>
      <c r="AC103" s="34"/>
      <c r="AD103" s="23"/>
      <c r="AE103" s="13"/>
      <c r="AF103" s="7"/>
    </row>
    <row r="104" ht="13.75" customHeight="1">
      <c r="A104" s="84"/>
      <c r="B104" t="s" s="8">
        <v>114</v>
      </c>
      <c r="C104" s="9"/>
      <c r="D104" s="9"/>
      <c r="E104" t="s" s="8">
        <v>14</v>
      </c>
      <c r="F104" t="s" s="8">
        <v>6</v>
      </c>
      <c r="G104" s="31">
        <v>2050</v>
      </c>
      <c r="H104" t="s" s="8">
        <v>6</v>
      </c>
      <c r="I104" s="31">
        <v>2166</v>
      </c>
      <c r="J104" t="s" s="8">
        <v>6</v>
      </c>
      <c r="K104" s="24"/>
      <c r="L104" t="s" s="8">
        <v>6</v>
      </c>
      <c r="M104" s="31">
        <v>2166</v>
      </c>
      <c r="N104" t="s" s="8">
        <v>6</v>
      </c>
      <c r="O104" s="18"/>
      <c r="P104" t="s" s="8">
        <v>6</v>
      </c>
      <c r="Q104" s="18"/>
      <c r="R104" t="s" s="8">
        <v>6</v>
      </c>
      <c r="S104" s="18"/>
      <c r="T104" t="s" s="8">
        <v>6</v>
      </c>
      <c r="U104" s="18"/>
      <c r="V104" t="s" s="8">
        <v>6</v>
      </c>
      <c r="W104" s="18"/>
      <c r="X104" t="s" s="8">
        <v>6</v>
      </c>
      <c r="Y104" s="18"/>
      <c r="Z104" t="s" s="8">
        <v>6</v>
      </c>
      <c r="AA104" s="18"/>
      <c r="AB104" t="s" s="8">
        <v>6</v>
      </c>
      <c r="AC104" s="18"/>
      <c r="AD104" s="23"/>
      <c r="AE104" s="13"/>
      <c r="AF104" s="7"/>
    </row>
    <row r="105" ht="13.55" customHeight="1">
      <c r="A105" s="84"/>
      <c r="B105" t="s" s="8">
        <v>115</v>
      </c>
      <c r="C105" s="9"/>
      <c r="D105" s="9"/>
      <c r="E105" s="9"/>
      <c r="F105" t="s" s="8">
        <v>8</v>
      </c>
      <c r="G105" s="98">
        <v>600</v>
      </c>
      <c r="H105" t="s" s="8">
        <v>8</v>
      </c>
      <c r="I105" s="98">
        <v>600</v>
      </c>
      <c r="J105" t="s" s="8">
        <v>8</v>
      </c>
      <c r="K105" s="32"/>
      <c r="L105" t="s" s="8">
        <v>8</v>
      </c>
      <c r="M105" s="98">
        <v>600</v>
      </c>
      <c r="N105" t="s" s="8">
        <v>8</v>
      </c>
      <c r="O105" s="27"/>
      <c r="P105" t="s" s="8">
        <v>8</v>
      </c>
      <c r="Q105" s="27"/>
      <c r="R105" t="s" s="8">
        <v>8</v>
      </c>
      <c r="S105" s="27"/>
      <c r="T105" t="s" s="8">
        <v>8</v>
      </c>
      <c r="U105" s="27"/>
      <c r="V105" t="s" s="8">
        <v>8</v>
      </c>
      <c r="W105" s="27"/>
      <c r="X105" t="s" s="8">
        <v>8</v>
      </c>
      <c r="Y105" s="27"/>
      <c r="Z105" t="s" s="8">
        <v>8</v>
      </c>
      <c r="AA105" s="27"/>
      <c r="AB105" t="s" s="8">
        <v>8</v>
      </c>
      <c r="AC105" s="27"/>
      <c r="AD105" s="31" cm="1">
        <f t="array" ref="AD105">G105+I105+K105+M105+O105+Q105+S105+U105+W105+Y105+AA105+AC105</f>
        <v>1800</v>
      </c>
      <c r="AE105" s="50" cm="1">
        <f t="array" ref="AE105">500*9</f>
        <v>4500</v>
      </c>
      <c r="AF105" s="51" cm="1">
        <f t="array" ref="AF105">AE105-AD105</f>
        <v>2700</v>
      </c>
    </row>
    <row r="106" ht="13.55" customHeight="1">
      <c r="A106" s="85"/>
      <c r="B106" s="9"/>
      <c r="C106" s="9"/>
      <c r="D106" s="9"/>
      <c r="E106" s="9"/>
      <c r="F106" t="s" s="8">
        <v>10</v>
      </c>
      <c r="G106" t="s" s="33">
        <v>93</v>
      </c>
      <c r="H106" t="s" s="8">
        <v>10</v>
      </c>
      <c r="I106" t="s" s="33">
        <v>24</v>
      </c>
      <c r="J106" t="s" s="8">
        <v>10</v>
      </c>
      <c r="K106" s="115"/>
      <c r="L106" t="s" s="8">
        <v>10</v>
      </c>
      <c r="M106" t="s" s="33">
        <v>24</v>
      </c>
      <c r="N106" t="s" s="8">
        <v>10</v>
      </c>
      <c r="O106" s="34"/>
      <c r="P106" t="s" s="8">
        <v>10</v>
      </c>
      <c r="Q106" s="34"/>
      <c r="R106" t="s" s="8">
        <v>10</v>
      </c>
      <c r="S106" s="34"/>
      <c r="T106" t="s" s="8">
        <v>10</v>
      </c>
      <c r="U106" s="34"/>
      <c r="V106" t="s" s="8">
        <v>10</v>
      </c>
      <c r="W106" s="34"/>
      <c r="X106" t="s" s="8">
        <v>10</v>
      </c>
      <c r="Y106" s="34"/>
      <c r="Z106" t="s" s="8">
        <v>10</v>
      </c>
      <c r="AA106" s="34"/>
      <c r="AB106" t="s" s="8">
        <v>10</v>
      </c>
      <c r="AC106" s="34"/>
      <c r="AD106" s="72"/>
      <c r="AE106" s="7"/>
      <c r="AF106" s="7"/>
    </row>
    <row r="107" ht="13.55" customHeight="1">
      <c r="A107" s="112"/>
      <c r="B107" s="113"/>
      <c r="C107" s="65"/>
      <c r="D107" s="65"/>
      <c r="E107" s="66"/>
      <c r="F107" s="66"/>
      <c r="G107" s="67"/>
      <c r="H107" s="66"/>
      <c r="I107" s="67"/>
      <c r="J107" s="66"/>
      <c r="K107" s="116"/>
      <c r="L107" s="66"/>
      <c r="M107" s="67"/>
      <c r="N107" s="66"/>
      <c r="O107" s="67"/>
      <c r="P107" s="66"/>
      <c r="Q107" s="69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7"/>
      <c r="AE107" s="7"/>
      <c r="AF107" s="7"/>
    </row>
    <row r="108" ht="13.75" customHeight="1">
      <c r="A108" s="83">
        <v>16</v>
      </c>
      <c r="B108" t="s" s="15">
        <v>116</v>
      </c>
      <c r="C108" s="9"/>
      <c r="D108" s="9"/>
      <c r="E108" t="s" s="8">
        <v>5</v>
      </c>
      <c r="F108" t="s" s="8">
        <v>6</v>
      </c>
      <c r="G108" s="16">
        <v>1183</v>
      </c>
      <c r="H108" t="s" s="8">
        <v>6</v>
      </c>
      <c r="I108" s="16">
        <v>3181</v>
      </c>
      <c r="J108" t="s" s="8">
        <v>6</v>
      </c>
      <c r="K108" s="27"/>
      <c r="L108" t="s" s="8">
        <v>6</v>
      </c>
      <c r="M108" s="18"/>
      <c r="N108" t="s" s="8">
        <v>6</v>
      </c>
      <c r="O108" s="18"/>
      <c r="P108" t="s" s="8">
        <v>6</v>
      </c>
      <c r="Q108" s="18"/>
      <c r="R108" t="s" s="8">
        <v>6</v>
      </c>
      <c r="S108" s="18"/>
      <c r="T108" t="s" s="8">
        <v>6</v>
      </c>
      <c r="U108" s="18"/>
      <c r="V108" t="s" s="8">
        <v>6</v>
      </c>
      <c r="W108" s="18"/>
      <c r="X108" t="s" s="8">
        <v>6</v>
      </c>
      <c r="Y108" s="18"/>
      <c r="Z108" t="s" s="8">
        <v>6</v>
      </c>
      <c r="AA108" s="18"/>
      <c r="AB108" t="s" s="8">
        <v>6</v>
      </c>
      <c r="AC108" s="18"/>
      <c r="AD108" s="71"/>
      <c r="AE108" s="7"/>
      <c r="AF108" s="7"/>
    </row>
    <row r="109" ht="13.55" customHeight="1">
      <c r="A109" s="84"/>
      <c r="B109" s="23"/>
      <c r="C109" s="9"/>
      <c r="D109" s="42"/>
      <c r="E109" s="9"/>
      <c r="F109" t="s" s="8">
        <v>8</v>
      </c>
      <c r="G109" s="26">
        <v>425</v>
      </c>
      <c r="H109" t="s" s="8">
        <v>8</v>
      </c>
      <c r="I109" s="26">
        <v>425</v>
      </c>
      <c r="J109" t="s" s="8">
        <v>8</v>
      </c>
      <c r="K109" s="27"/>
      <c r="L109" t="s" s="8">
        <v>8</v>
      </c>
      <c r="M109" s="27"/>
      <c r="N109" t="s" s="8">
        <v>8</v>
      </c>
      <c r="O109" s="27"/>
      <c r="P109" t="s" s="8">
        <v>8</v>
      </c>
      <c r="Q109" s="27"/>
      <c r="R109" t="s" s="8">
        <v>8</v>
      </c>
      <c r="S109" s="27"/>
      <c r="T109" t="s" s="8">
        <v>8</v>
      </c>
      <c r="U109" s="27"/>
      <c r="V109" t="s" s="8">
        <v>8</v>
      </c>
      <c r="W109" s="27"/>
      <c r="X109" t="s" s="8">
        <v>8</v>
      </c>
      <c r="Y109" s="27"/>
      <c r="Z109" t="s" s="8">
        <v>8</v>
      </c>
      <c r="AA109" s="27"/>
      <c r="AB109" t="s" s="8">
        <v>8</v>
      </c>
      <c r="AC109" s="27"/>
      <c r="AD109" s="31" cm="1">
        <f t="array" ref="AD109">G109+I109+K109+M109+O109+Q109+S109+U109+W109+Y109+AA109+AC109</f>
        <v>850</v>
      </c>
      <c r="AE109" s="50" cm="1">
        <f t="array" ref="AE109">400*9</f>
        <v>3600</v>
      </c>
      <c r="AF109" s="51" cm="1">
        <f t="array" ref="AF109">AE109-AD109</f>
        <v>2750</v>
      </c>
    </row>
    <row r="110" ht="13.75" customHeight="1">
      <c r="A110" s="84"/>
      <c r="B110" t="s" s="87">
        <v>113</v>
      </c>
      <c r="C110" t="s" s="8">
        <v>9</v>
      </c>
      <c r="D110" s="25">
        <v>1000</v>
      </c>
      <c r="E110" s="9"/>
      <c r="F110" t="s" s="8">
        <v>10</v>
      </c>
      <c r="G110" t="s" s="33">
        <v>39</v>
      </c>
      <c r="H110" t="s" s="8">
        <v>10</v>
      </c>
      <c r="I110" t="s" s="33">
        <v>24</v>
      </c>
      <c r="J110" t="s" s="8">
        <v>10</v>
      </c>
      <c r="K110" s="27"/>
      <c r="L110" t="s" s="8">
        <v>10</v>
      </c>
      <c r="M110" s="34"/>
      <c r="N110" t="s" s="8">
        <v>10</v>
      </c>
      <c r="O110" s="34"/>
      <c r="P110" t="s" s="8">
        <v>10</v>
      </c>
      <c r="Q110" s="34"/>
      <c r="R110" t="s" s="8">
        <v>10</v>
      </c>
      <c r="S110" s="34"/>
      <c r="T110" t="s" s="8">
        <v>10</v>
      </c>
      <c r="U110" s="34"/>
      <c r="V110" t="s" s="8">
        <v>10</v>
      </c>
      <c r="W110" s="34"/>
      <c r="X110" t="s" s="8">
        <v>10</v>
      </c>
      <c r="Y110" s="34"/>
      <c r="Z110" t="s" s="8">
        <v>10</v>
      </c>
      <c r="AA110" s="34"/>
      <c r="AB110" t="s" s="8">
        <v>10</v>
      </c>
      <c r="AC110" s="34"/>
      <c r="AD110" s="23"/>
      <c r="AE110" s="13"/>
      <c r="AF110" s="7"/>
    </row>
    <row r="111" ht="13.75" customHeight="1">
      <c r="A111" s="84"/>
      <c r="B111" t="s" s="8">
        <v>117</v>
      </c>
      <c r="C111" s="9"/>
      <c r="D111" s="9"/>
      <c r="E111" t="s" s="8">
        <v>14</v>
      </c>
      <c r="F111" t="s" s="8">
        <v>6</v>
      </c>
      <c r="G111" s="31">
        <v>2097</v>
      </c>
      <c r="H111" t="s" s="8">
        <v>6</v>
      </c>
      <c r="I111" s="16">
        <v>2187</v>
      </c>
      <c r="J111" t="s" s="8">
        <v>6</v>
      </c>
      <c r="K111" s="24"/>
      <c r="L111" t="s" s="8">
        <v>6</v>
      </c>
      <c r="M111" s="18"/>
      <c r="N111" t="s" s="8">
        <v>6</v>
      </c>
      <c r="O111" s="18"/>
      <c r="P111" t="s" s="8">
        <v>6</v>
      </c>
      <c r="Q111" s="18"/>
      <c r="R111" t="s" s="8">
        <v>6</v>
      </c>
      <c r="S111" s="18"/>
      <c r="T111" t="s" s="8">
        <v>6</v>
      </c>
      <c r="U111" s="120"/>
      <c r="V111" t="s" s="8">
        <v>6</v>
      </c>
      <c r="W111" s="18"/>
      <c r="X111" t="s" s="8">
        <v>6</v>
      </c>
      <c r="Y111" s="18"/>
      <c r="Z111" t="s" s="8">
        <v>6</v>
      </c>
      <c r="AA111" s="18"/>
      <c r="AB111" t="s" s="8">
        <v>6</v>
      </c>
      <c r="AC111" s="18"/>
      <c r="AD111" s="23"/>
      <c r="AE111" s="13"/>
      <c r="AF111" s="7"/>
    </row>
    <row r="112" ht="13.55" customHeight="1">
      <c r="A112" s="84"/>
      <c r="B112" t="s" s="8">
        <v>118</v>
      </c>
      <c r="C112" s="9"/>
      <c r="D112" s="9"/>
      <c r="E112" s="9"/>
      <c r="F112" t="s" s="8">
        <v>8</v>
      </c>
      <c r="G112" s="98">
        <v>600</v>
      </c>
      <c r="H112" t="s" s="8">
        <v>8</v>
      </c>
      <c r="I112" s="26">
        <v>600</v>
      </c>
      <c r="J112" t="s" s="8">
        <v>8</v>
      </c>
      <c r="K112" s="32"/>
      <c r="L112" t="s" s="8">
        <v>8</v>
      </c>
      <c r="M112" s="27"/>
      <c r="N112" t="s" s="8">
        <v>8</v>
      </c>
      <c r="O112" s="27"/>
      <c r="P112" t="s" s="8">
        <v>8</v>
      </c>
      <c r="Q112" s="27"/>
      <c r="R112" t="s" s="8">
        <v>8</v>
      </c>
      <c r="S112" s="27"/>
      <c r="T112" t="s" s="8">
        <v>8</v>
      </c>
      <c r="U112" s="121"/>
      <c r="V112" t="s" s="8">
        <v>8</v>
      </c>
      <c r="W112" s="27"/>
      <c r="X112" t="s" s="8">
        <v>8</v>
      </c>
      <c r="Y112" s="27"/>
      <c r="Z112" t="s" s="8">
        <v>8</v>
      </c>
      <c r="AA112" s="27"/>
      <c r="AB112" t="s" s="8">
        <v>8</v>
      </c>
      <c r="AC112" s="27"/>
      <c r="AD112" s="23" cm="1">
        <f t="array" ref="AD112">G112+I112+K112+M112+O112+Q112+S112+U112+W112+Y112+AA112+AC112</f>
      </c>
      <c r="AE112" s="50" cm="1">
        <f t="array" ref="AE112">500*9</f>
        <v>4500</v>
      </c>
      <c r="AF112" s="7" cm="1">
        <f t="array" ref="AF112">AE112-AD112</f>
      </c>
    </row>
    <row r="113" ht="13.55" customHeight="1">
      <c r="A113" s="85"/>
      <c r="B113" s="9"/>
      <c r="C113" s="9"/>
      <c r="D113" s="9"/>
      <c r="E113" s="9"/>
      <c r="F113" t="s" s="8">
        <v>10</v>
      </c>
      <c r="G113" t="s" s="33">
        <v>39</v>
      </c>
      <c r="H113" t="s" s="8">
        <v>10</v>
      </c>
      <c r="I113" t="s" s="33">
        <v>55</v>
      </c>
      <c r="J113" t="s" s="8">
        <v>10</v>
      </c>
      <c r="K113" s="115"/>
      <c r="L113" t="s" s="8">
        <v>10</v>
      </c>
      <c r="M113" s="34"/>
      <c r="N113" t="s" s="8">
        <v>10</v>
      </c>
      <c r="O113" s="34"/>
      <c r="P113" t="s" s="8">
        <v>10</v>
      </c>
      <c r="Q113" s="34"/>
      <c r="R113" t="s" s="8">
        <v>10</v>
      </c>
      <c r="S113" s="34"/>
      <c r="T113" t="s" s="8">
        <v>10</v>
      </c>
      <c r="U113" s="122"/>
      <c r="V113" t="s" s="8">
        <v>10</v>
      </c>
      <c r="W113" s="34"/>
      <c r="X113" t="s" s="8">
        <v>10</v>
      </c>
      <c r="Y113" s="34"/>
      <c r="Z113" t="s" s="8">
        <v>10</v>
      </c>
      <c r="AA113" s="34"/>
      <c r="AB113" t="s" s="8">
        <v>10</v>
      </c>
      <c r="AC113" s="34"/>
      <c r="AD113" s="72"/>
      <c r="AE113" s="7"/>
      <c r="AF113" s="7"/>
    </row>
    <row r="114" ht="13.55" customHeight="1">
      <c r="A114" s="112"/>
      <c r="B114" s="113"/>
      <c r="C114" s="65"/>
      <c r="D114" s="65"/>
      <c r="E114" s="66"/>
      <c r="F114" s="66"/>
      <c r="G114" s="67"/>
      <c r="H114" s="66"/>
      <c r="I114" s="67"/>
      <c r="J114" s="66"/>
      <c r="K114" s="116"/>
      <c r="L114" s="66"/>
      <c r="M114" s="67"/>
      <c r="N114" s="66"/>
      <c r="O114" s="67"/>
      <c r="P114" s="66"/>
      <c r="Q114" s="69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7"/>
      <c r="AE114" s="7"/>
      <c r="AF114" s="7"/>
    </row>
    <row r="115" ht="13.75" customHeight="1">
      <c r="A115" s="83">
        <v>17</v>
      </c>
      <c r="B115" t="s" s="15">
        <v>119</v>
      </c>
      <c r="C115" s="9"/>
      <c r="D115" s="9"/>
      <c r="E115" t="s" s="8">
        <v>5</v>
      </c>
      <c r="F115" t="s" s="8">
        <v>6</v>
      </c>
      <c r="G115" s="18"/>
      <c r="H115" t="s" s="8">
        <v>6</v>
      </c>
      <c r="I115" s="23"/>
      <c r="J115" t="s" s="8">
        <v>6</v>
      </c>
      <c r="K115" s="27"/>
      <c r="L115" t="s" s="8">
        <v>6</v>
      </c>
      <c r="M115" s="18"/>
      <c r="N115" t="s" s="8">
        <v>6</v>
      </c>
      <c r="O115" s="18"/>
      <c r="P115" t="s" s="8">
        <v>6</v>
      </c>
      <c r="Q115" s="18"/>
      <c r="R115" t="s" s="8">
        <v>6</v>
      </c>
      <c r="S115" s="18"/>
      <c r="T115" t="s" s="8">
        <v>6</v>
      </c>
      <c r="U115" s="18"/>
      <c r="V115" t="s" s="8">
        <v>6</v>
      </c>
      <c r="W115" s="18"/>
      <c r="X115" t="s" s="8">
        <v>6</v>
      </c>
      <c r="Y115" s="18"/>
      <c r="Z115" t="s" s="8">
        <v>6</v>
      </c>
      <c r="AA115" s="18"/>
      <c r="AB115" t="s" s="8">
        <v>6</v>
      </c>
      <c r="AC115" s="18"/>
      <c r="AD115" s="71"/>
      <c r="AE115" s="7"/>
      <c r="AF115" s="7"/>
    </row>
    <row r="116" ht="13.75" customHeight="1">
      <c r="A116" s="84"/>
      <c r="B116" s="123"/>
      <c r="C116" t="s" s="8">
        <v>7</v>
      </c>
      <c r="D116" s="42"/>
      <c r="E116" s="9"/>
      <c r="F116" t="s" s="8">
        <v>8</v>
      </c>
      <c r="G116" s="27"/>
      <c r="H116" t="s" s="8">
        <v>8</v>
      </c>
      <c r="I116" s="27"/>
      <c r="J116" t="s" s="8">
        <v>8</v>
      </c>
      <c r="K116" s="27"/>
      <c r="L116" t="s" s="8">
        <v>8</v>
      </c>
      <c r="M116" s="27"/>
      <c r="N116" t="s" s="8">
        <v>8</v>
      </c>
      <c r="O116" s="27"/>
      <c r="P116" t="s" s="8">
        <v>8</v>
      </c>
      <c r="Q116" s="27"/>
      <c r="R116" t="s" s="8">
        <v>8</v>
      </c>
      <c r="S116" s="27"/>
      <c r="T116" t="s" s="8">
        <v>8</v>
      </c>
      <c r="U116" s="27"/>
      <c r="V116" t="s" s="8">
        <v>8</v>
      </c>
      <c r="W116" s="27"/>
      <c r="X116" t="s" s="8">
        <v>8</v>
      </c>
      <c r="Y116" s="27"/>
      <c r="Z116" t="s" s="8">
        <v>8</v>
      </c>
      <c r="AA116" s="27"/>
      <c r="AB116" t="s" s="8">
        <v>8</v>
      </c>
      <c r="AC116" s="27"/>
      <c r="AD116" s="31" cm="1">
        <f t="array" ref="AD116">G116+I116+K116+M116+O116+Q116+S116+U116+W116+Y116+AA116+AC116</f>
        <v>0</v>
      </c>
      <c r="AE116" s="50" cm="1">
        <f t="array" ref="AE116">800*8</f>
        <v>6400</v>
      </c>
      <c r="AF116" s="51" cm="1">
        <f t="array" ref="AF116">AE116-AD116</f>
        <v>6400</v>
      </c>
    </row>
    <row r="117" ht="13.55" customHeight="1">
      <c r="A117" s="84"/>
      <c r="B117" s="23"/>
      <c r="C117" t="s" s="8">
        <v>9</v>
      </c>
      <c r="D117" s="42"/>
      <c r="E117" s="9"/>
      <c r="F117" t="s" s="8">
        <v>10</v>
      </c>
      <c r="G117" s="34"/>
      <c r="H117" t="s" s="8">
        <v>10</v>
      </c>
      <c r="I117" s="34"/>
      <c r="J117" t="s" s="8">
        <v>10</v>
      </c>
      <c r="K117" s="27"/>
      <c r="L117" t="s" s="8">
        <v>10</v>
      </c>
      <c r="M117" s="34"/>
      <c r="N117" t="s" s="8">
        <v>10</v>
      </c>
      <c r="O117" s="34"/>
      <c r="P117" t="s" s="8">
        <v>10</v>
      </c>
      <c r="Q117" s="34"/>
      <c r="R117" t="s" s="8">
        <v>10</v>
      </c>
      <c r="S117" s="34"/>
      <c r="T117" t="s" s="8">
        <v>10</v>
      </c>
      <c r="U117" s="34"/>
      <c r="V117" t="s" s="8">
        <v>10</v>
      </c>
      <c r="W117" s="34"/>
      <c r="X117" t="s" s="8">
        <v>10</v>
      </c>
      <c r="Y117" s="34"/>
      <c r="Z117" t="s" s="8">
        <v>10</v>
      </c>
      <c r="AA117" s="34"/>
      <c r="AB117" t="s" s="8">
        <v>10</v>
      </c>
      <c r="AC117" s="34"/>
      <c r="AD117" s="23"/>
      <c r="AE117" s="13"/>
      <c r="AF117" s="7"/>
    </row>
    <row r="118" ht="13.75" customHeight="1">
      <c r="A118" s="84"/>
      <c r="B118" t="s" s="8">
        <v>120</v>
      </c>
      <c r="C118" s="9"/>
      <c r="D118" s="9"/>
      <c r="E118" t="s" s="8">
        <v>14</v>
      </c>
      <c r="F118" t="s" s="8">
        <v>6</v>
      </c>
      <c r="G118" s="76"/>
      <c r="H118" t="s" s="8">
        <v>6</v>
      </c>
      <c r="I118" s="24"/>
      <c r="J118" t="s" s="8">
        <v>6</v>
      </c>
      <c r="K118" s="24"/>
      <c r="L118" t="s" s="8">
        <v>6</v>
      </c>
      <c r="M118" s="18"/>
      <c r="N118" t="s" s="8">
        <v>6</v>
      </c>
      <c r="O118" s="18"/>
      <c r="P118" t="s" s="8">
        <v>6</v>
      </c>
      <c r="Q118" s="18"/>
      <c r="R118" t="s" s="8">
        <v>6</v>
      </c>
      <c r="S118" s="23"/>
      <c r="T118" t="s" s="8">
        <v>6</v>
      </c>
      <c r="U118" s="23"/>
      <c r="V118" t="s" s="8">
        <v>6</v>
      </c>
      <c r="W118" s="23"/>
      <c r="X118" t="s" s="8">
        <v>6</v>
      </c>
      <c r="Y118" s="9"/>
      <c r="Z118" t="s" s="8">
        <v>6</v>
      </c>
      <c r="AA118" s="9"/>
      <c r="AB118" t="s" s="8">
        <v>6</v>
      </c>
      <c r="AC118" s="9"/>
      <c r="AD118" s="23"/>
      <c r="AE118" s="13"/>
      <c r="AF118" s="7"/>
    </row>
    <row r="119" ht="13.55" customHeight="1">
      <c r="A119" s="84"/>
      <c r="B119" t="s" s="8">
        <v>121</v>
      </c>
      <c r="C119" s="9"/>
      <c r="D119" s="9"/>
      <c r="E119" s="9"/>
      <c r="F119" t="s" s="8">
        <v>8</v>
      </c>
      <c r="G119" s="77"/>
      <c r="H119" t="s" s="8">
        <v>8</v>
      </c>
      <c r="I119" s="32"/>
      <c r="J119" t="s" s="8">
        <v>8</v>
      </c>
      <c r="K119" s="32"/>
      <c r="L119" t="s" s="8">
        <v>8</v>
      </c>
      <c r="M119" s="27"/>
      <c r="N119" t="s" s="8">
        <v>8</v>
      </c>
      <c r="O119" s="27"/>
      <c r="P119" t="s" s="8">
        <v>8</v>
      </c>
      <c r="Q119" s="27"/>
      <c r="R119" t="s" s="8">
        <v>8</v>
      </c>
      <c r="S119" s="9"/>
      <c r="T119" t="s" s="8">
        <v>8</v>
      </c>
      <c r="U119" s="9"/>
      <c r="V119" t="s" s="8">
        <v>8</v>
      </c>
      <c r="W119" s="9"/>
      <c r="X119" t="s" s="8">
        <v>8</v>
      </c>
      <c r="Y119" s="27"/>
      <c r="Z119" t="s" s="8">
        <v>8</v>
      </c>
      <c r="AA119" s="27"/>
      <c r="AB119" t="s" s="8">
        <v>8</v>
      </c>
      <c r="AC119" s="27"/>
      <c r="AD119" s="23" cm="1">
        <f t="array" ref="AD119">G119+I119+K119+M119+O119+Q119+S119+U119+W119+Y119+AA119+AC119</f>
      </c>
      <c r="AE119" s="13"/>
      <c r="AF119" s="7"/>
    </row>
    <row r="120" ht="13.55" customHeight="1">
      <c r="A120" s="85"/>
      <c r="B120" s="9"/>
      <c r="C120" s="9"/>
      <c r="D120" s="9"/>
      <c r="E120" s="9"/>
      <c r="F120" t="s" s="8">
        <v>10</v>
      </c>
      <c r="G120" s="78"/>
      <c r="H120" t="s" s="8">
        <v>10</v>
      </c>
      <c r="I120" s="115"/>
      <c r="J120" t="s" s="8">
        <v>10</v>
      </c>
      <c r="K120" s="115"/>
      <c r="L120" t="s" s="8">
        <v>10</v>
      </c>
      <c r="M120" s="34"/>
      <c r="N120" t="s" s="8">
        <v>10</v>
      </c>
      <c r="O120" s="34"/>
      <c r="P120" t="s" s="8">
        <v>10</v>
      </c>
      <c r="Q120" s="34"/>
      <c r="R120" t="s" s="8">
        <v>10</v>
      </c>
      <c r="S120" s="9"/>
      <c r="T120" t="s" s="8">
        <v>10</v>
      </c>
      <c r="U120" s="9"/>
      <c r="V120" t="s" s="8">
        <v>10</v>
      </c>
      <c r="W120" s="9"/>
      <c r="X120" t="s" s="8">
        <v>10</v>
      </c>
      <c r="Y120" s="46"/>
      <c r="Z120" t="s" s="8">
        <v>10</v>
      </c>
      <c r="AA120" s="46"/>
      <c r="AB120" t="s" s="8">
        <v>10</v>
      </c>
      <c r="AC120" s="46"/>
      <c r="AD120" s="72"/>
      <c r="AE120" s="7"/>
      <c r="AF120" s="7"/>
    </row>
    <row r="121" ht="13.55" customHeight="1">
      <c r="A121" s="112"/>
      <c r="B121" s="113"/>
      <c r="C121" s="65"/>
      <c r="D121" s="65"/>
      <c r="E121" s="66"/>
      <c r="F121" s="66"/>
      <c r="G121" s="67"/>
      <c r="H121" s="66"/>
      <c r="I121" s="110"/>
      <c r="J121" s="66"/>
      <c r="K121" s="116"/>
      <c r="L121" s="66"/>
      <c r="M121" s="67"/>
      <c r="N121" s="66"/>
      <c r="O121" s="67"/>
      <c r="P121" s="66"/>
      <c r="Q121" s="69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"/>
      <c r="AE121" s="7"/>
      <c r="AF121" s="7"/>
    </row>
    <row r="122" ht="13.75" customHeight="1">
      <c r="A122" s="83">
        <v>18</v>
      </c>
      <c r="B122" t="s" s="15">
        <v>122</v>
      </c>
      <c r="C122" s="9"/>
      <c r="D122" s="9"/>
      <c r="E122" t="s" s="8">
        <v>5</v>
      </c>
      <c r="F122" t="s" s="8">
        <v>6</v>
      </c>
      <c r="G122" s="16">
        <v>1186</v>
      </c>
      <c r="H122" t="s" s="8">
        <v>6</v>
      </c>
      <c r="I122" s="23"/>
      <c r="J122" t="s" s="8">
        <v>6</v>
      </c>
      <c r="K122" s="27"/>
      <c r="L122" t="s" s="8">
        <v>6</v>
      </c>
      <c r="M122" s="18"/>
      <c r="N122" t="s" s="8">
        <v>6</v>
      </c>
      <c r="O122" s="18"/>
      <c r="P122" t="s" s="8">
        <v>6</v>
      </c>
      <c r="Q122" s="18"/>
      <c r="R122" s="74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"/>
      <c r="AE122" s="7"/>
      <c r="AF122" s="7"/>
    </row>
    <row r="123" ht="13.75" customHeight="1">
      <c r="A123" s="84"/>
      <c r="B123" t="s" s="124">
        <v>68</v>
      </c>
      <c r="C123" t="s" s="8">
        <v>7</v>
      </c>
      <c r="D123" s="25">
        <v>1000</v>
      </c>
      <c r="E123" s="9"/>
      <c r="F123" t="s" s="8">
        <v>8</v>
      </c>
      <c r="G123" s="26">
        <v>850</v>
      </c>
      <c r="H123" t="s" s="8">
        <v>8</v>
      </c>
      <c r="I123" s="27"/>
      <c r="J123" t="s" s="8">
        <v>8</v>
      </c>
      <c r="K123" s="27"/>
      <c r="L123" t="s" s="8">
        <v>8</v>
      </c>
      <c r="M123" s="27"/>
      <c r="N123" t="s" s="8">
        <v>8</v>
      </c>
      <c r="O123" s="27"/>
      <c r="P123" t="s" s="8">
        <v>8</v>
      </c>
      <c r="Q123" s="27"/>
      <c r="R123" s="74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"/>
      <c r="AE123" s="7"/>
      <c r="AF123" s="7"/>
    </row>
    <row r="124" ht="13.55" customHeight="1">
      <c r="A124" s="84"/>
      <c r="B124" s="23"/>
      <c r="C124" t="s" s="8">
        <v>9</v>
      </c>
      <c r="D124" s="25">
        <v>1000</v>
      </c>
      <c r="E124" s="9"/>
      <c r="F124" t="s" s="8">
        <v>10</v>
      </c>
      <c r="G124" t="s" s="33">
        <v>39</v>
      </c>
      <c r="H124" t="s" s="8">
        <v>10</v>
      </c>
      <c r="I124" s="34"/>
      <c r="J124" t="s" s="8">
        <v>10</v>
      </c>
      <c r="K124" s="27"/>
      <c r="L124" t="s" s="8">
        <v>10</v>
      </c>
      <c r="M124" s="34"/>
      <c r="N124" t="s" s="8">
        <v>10</v>
      </c>
      <c r="O124" s="34"/>
      <c r="P124" t="s" s="8">
        <v>10</v>
      </c>
      <c r="Q124" s="34"/>
      <c r="R124" s="74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"/>
      <c r="AE124" s="7"/>
      <c r="AF124" s="7"/>
    </row>
    <row r="125" ht="13.75" customHeight="1">
      <c r="A125" s="84"/>
      <c r="B125" t="s" s="8">
        <v>123</v>
      </c>
      <c r="C125" s="9"/>
      <c r="D125" s="9"/>
      <c r="E125" t="s" s="8">
        <v>14</v>
      </c>
      <c r="F125" t="s" s="8">
        <v>6</v>
      </c>
      <c r="G125" s="16">
        <v>2100</v>
      </c>
      <c r="H125" t="s" s="8">
        <v>6</v>
      </c>
      <c r="I125" s="24"/>
      <c r="J125" t="s" s="8">
        <v>6</v>
      </c>
      <c r="K125" s="24"/>
      <c r="L125" t="s" s="8">
        <v>6</v>
      </c>
      <c r="M125" s="18"/>
      <c r="N125" t="s" s="8">
        <v>6</v>
      </c>
      <c r="O125" s="18"/>
      <c r="P125" t="s" s="8">
        <v>6</v>
      </c>
      <c r="Q125" s="18"/>
      <c r="R125" s="13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3.55" customHeight="1">
      <c r="A126" s="84"/>
      <c r="B126" t="s" s="8">
        <v>124</v>
      </c>
      <c r="C126" s="9"/>
      <c r="D126" s="9"/>
      <c r="E126" s="9"/>
      <c r="F126" t="s" s="8">
        <v>8</v>
      </c>
      <c r="G126" s="26">
        <v>600</v>
      </c>
      <c r="H126" t="s" s="8">
        <v>8</v>
      </c>
      <c r="I126" s="32"/>
      <c r="J126" t="s" s="8">
        <v>8</v>
      </c>
      <c r="K126" s="32"/>
      <c r="L126" t="s" s="8">
        <v>8</v>
      </c>
      <c r="M126" s="27"/>
      <c r="N126" t="s" s="8">
        <v>8</v>
      </c>
      <c r="O126" s="27"/>
      <c r="P126" t="s" s="8">
        <v>8</v>
      </c>
      <c r="Q126" s="27"/>
      <c r="R126" s="74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"/>
      <c r="AE126" s="7"/>
      <c r="AF126" s="7"/>
    </row>
    <row r="127" ht="13.55" customHeight="1">
      <c r="A127" s="85"/>
      <c r="B127" s="9"/>
      <c r="C127" s="9"/>
      <c r="D127" s="9"/>
      <c r="E127" s="9"/>
      <c r="F127" t="s" s="8">
        <v>10</v>
      </c>
      <c r="G127" t="s" s="33">
        <v>39</v>
      </c>
      <c r="H127" t="s" s="8">
        <v>10</v>
      </c>
      <c r="I127" s="115"/>
      <c r="J127" t="s" s="8">
        <v>10</v>
      </c>
      <c r="K127" s="115"/>
      <c r="L127" t="s" s="8">
        <v>10</v>
      </c>
      <c r="M127" s="34"/>
      <c r="N127" t="s" s="8">
        <v>10</v>
      </c>
      <c r="O127" s="34"/>
      <c r="P127" t="s" s="8">
        <v>10</v>
      </c>
      <c r="Q127" s="34"/>
      <c r="R127" s="74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"/>
      <c r="AE127" s="7"/>
      <c r="AF127" s="7"/>
    </row>
    <row r="128" ht="13.55" customHeight="1">
      <c r="A128" s="112"/>
      <c r="B128" s="113"/>
      <c r="C128" s="65"/>
      <c r="D128" s="65"/>
      <c r="E128" s="66"/>
      <c r="F128" s="66"/>
      <c r="G128" s="67"/>
      <c r="H128" s="66"/>
      <c r="I128" s="110"/>
      <c r="J128" s="66"/>
      <c r="K128" s="116"/>
      <c r="L128" s="66"/>
      <c r="M128" s="67"/>
      <c r="N128" s="66"/>
      <c r="O128" s="67"/>
      <c r="P128" s="66"/>
      <c r="Q128" s="69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"/>
      <c r="AE128" s="7"/>
      <c r="AF128" s="7"/>
    </row>
    <row r="129" ht="13.75" customHeight="1">
      <c r="A129" s="83">
        <v>19</v>
      </c>
      <c r="B129" t="s" s="15">
        <v>125</v>
      </c>
      <c r="C129" s="9"/>
      <c r="D129" s="9"/>
      <c r="E129" t="s" s="8">
        <v>5</v>
      </c>
      <c r="F129" t="s" s="8">
        <v>6</v>
      </c>
      <c r="G129" s="16">
        <v>1208</v>
      </c>
      <c r="H129" t="s" s="8">
        <v>6</v>
      </c>
      <c r="I129" s="31">
        <v>3161</v>
      </c>
      <c r="J129" t="s" s="8">
        <v>6</v>
      </c>
      <c r="K129" s="31">
        <v>3267</v>
      </c>
      <c r="L129" t="s" s="8">
        <v>6</v>
      </c>
      <c r="M129" s="18"/>
      <c r="N129" t="s" s="8">
        <v>6</v>
      </c>
      <c r="O129" s="18"/>
      <c r="P129" t="s" s="8">
        <v>6</v>
      </c>
      <c r="Q129" s="18"/>
      <c r="R129" s="74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"/>
      <c r="AE129" s="7"/>
      <c r="AF129" s="7"/>
    </row>
    <row r="130" ht="13.75" customHeight="1">
      <c r="A130" s="84"/>
      <c r="B130" t="s" s="124">
        <v>68</v>
      </c>
      <c r="C130" t="s" s="8">
        <v>7</v>
      </c>
      <c r="D130" s="25">
        <v>1000</v>
      </c>
      <c r="E130" s="9"/>
      <c r="F130" t="s" s="8">
        <v>8</v>
      </c>
      <c r="G130" s="26">
        <v>800</v>
      </c>
      <c r="H130" t="s" s="8">
        <v>8</v>
      </c>
      <c r="I130" s="26">
        <v>425</v>
      </c>
      <c r="J130" t="s" s="8">
        <v>8</v>
      </c>
      <c r="K130" s="26">
        <v>425</v>
      </c>
      <c r="L130" t="s" s="8">
        <v>8</v>
      </c>
      <c r="M130" s="27"/>
      <c r="N130" t="s" s="8">
        <v>8</v>
      </c>
      <c r="O130" s="27"/>
      <c r="P130" t="s" s="8">
        <v>8</v>
      </c>
      <c r="Q130" s="27"/>
      <c r="R130" s="74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"/>
      <c r="AE130" s="7"/>
      <c r="AF130" s="7"/>
    </row>
    <row r="131" ht="13.75" customHeight="1">
      <c r="A131" s="84"/>
      <c r="B131" t="s" s="87">
        <v>22</v>
      </c>
      <c r="C131" t="s" s="8">
        <v>9</v>
      </c>
      <c r="D131" s="25">
        <v>1000</v>
      </c>
      <c r="E131" s="9"/>
      <c r="F131" t="s" s="8">
        <v>10</v>
      </c>
      <c r="G131" t="s" s="33">
        <v>126</v>
      </c>
      <c r="H131" t="s" s="8">
        <v>10</v>
      </c>
      <c r="I131" t="s" s="33">
        <v>51</v>
      </c>
      <c r="J131" t="s" s="8">
        <v>10</v>
      </c>
      <c r="K131" t="s" s="33">
        <v>127</v>
      </c>
      <c r="L131" t="s" s="8">
        <v>10</v>
      </c>
      <c r="M131" s="34"/>
      <c r="N131" t="s" s="8">
        <v>10</v>
      </c>
      <c r="O131" s="34"/>
      <c r="P131" t="s" s="8">
        <v>10</v>
      </c>
      <c r="Q131" s="34"/>
      <c r="R131" s="74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"/>
      <c r="AE131" s="7"/>
      <c r="AF131" s="7"/>
    </row>
    <row r="132" ht="13.75" customHeight="1">
      <c r="A132" s="84"/>
      <c r="B132" t="s" s="8">
        <v>128</v>
      </c>
      <c r="C132" s="9"/>
      <c r="D132" s="9"/>
      <c r="E132" t="s" s="8">
        <v>14</v>
      </c>
      <c r="F132" t="s" s="8">
        <v>6</v>
      </c>
      <c r="G132" s="76"/>
      <c r="H132" t="s" s="8">
        <v>6</v>
      </c>
      <c r="I132" s="24"/>
      <c r="J132" t="s" s="8">
        <v>6</v>
      </c>
      <c r="K132" s="24"/>
      <c r="L132" t="s" s="8">
        <v>6</v>
      </c>
      <c r="M132" s="18"/>
      <c r="N132" t="s" s="8">
        <v>6</v>
      </c>
      <c r="O132" s="18"/>
      <c r="P132" t="s" s="8">
        <v>6</v>
      </c>
      <c r="Q132" s="18"/>
      <c r="R132" s="13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3.55" customHeight="1">
      <c r="A133" s="84"/>
      <c r="B133" t="s" s="8">
        <v>129</v>
      </c>
      <c r="C133" s="9"/>
      <c r="D133" s="9"/>
      <c r="E133" s="9"/>
      <c r="F133" t="s" s="8">
        <v>8</v>
      </c>
      <c r="G133" s="77"/>
      <c r="H133" t="s" s="8">
        <v>8</v>
      </c>
      <c r="I133" s="32"/>
      <c r="J133" t="s" s="8">
        <v>8</v>
      </c>
      <c r="K133" s="32"/>
      <c r="L133" t="s" s="8">
        <v>8</v>
      </c>
      <c r="M133" s="27"/>
      <c r="N133" t="s" s="8">
        <v>8</v>
      </c>
      <c r="O133" s="27"/>
      <c r="P133" t="s" s="8">
        <v>8</v>
      </c>
      <c r="Q133" s="27"/>
      <c r="R133" s="74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"/>
      <c r="AE133" s="7"/>
      <c r="AF133" s="7"/>
    </row>
    <row r="134" ht="13.55" customHeight="1">
      <c r="A134" s="85"/>
      <c r="B134" s="24"/>
      <c r="C134" s="9"/>
      <c r="D134" s="9"/>
      <c r="E134" s="9"/>
      <c r="F134" t="s" s="8">
        <v>10</v>
      </c>
      <c r="G134" s="78"/>
      <c r="H134" t="s" s="8">
        <v>10</v>
      </c>
      <c r="I134" s="115"/>
      <c r="J134" t="s" s="8">
        <v>10</v>
      </c>
      <c r="K134" s="115"/>
      <c r="L134" t="s" s="8">
        <v>10</v>
      </c>
      <c r="M134" s="34"/>
      <c r="N134" t="s" s="8">
        <v>10</v>
      </c>
      <c r="O134" s="34"/>
      <c r="P134" t="s" s="8">
        <v>10</v>
      </c>
      <c r="Q134" s="34"/>
      <c r="R134" s="74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"/>
      <c r="AE134" s="7"/>
      <c r="AF134" s="7"/>
    </row>
    <row r="135" ht="13.55" customHeight="1">
      <c r="A135" s="112"/>
      <c r="B135" s="125"/>
      <c r="C135" s="65"/>
      <c r="D135" s="65"/>
      <c r="E135" s="66"/>
      <c r="F135" s="66"/>
      <c r="G135" s="67"/>
      <c r="H135" s="66"/>
      <c r="I135" s="110"/>
      <c r="J135" s="66"/>
      <c r="K135" s="116"/>
      <c r="L135" s="66"/>
      <c r="M135" s="67"/>
      <c r="N135" s="66"/>
      <c r="O135" s="67"/>
      <c r="P135" s="66"/>
      <c r="Q135" s="69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"/>
      <c r="AE135" s="7"/>
      <c r="AF135" s="7"/>
    </row>
    <row r="136" ht="13.75" customHeight="1">
      <c r="A136" s="83">
        <v>20</v>
      </c>
      <c r="B136" t="s" s="15">
        <v>130</v>
      </c>
      <c r="C136" s="9"/>
      <c r="D136" s="9"/>
      <c r="E136" t="s" s="8">
        <v>5</v>
      </c>
      <c r="F136" t="s" s="8">
        <v>6</v>
      </c>
      <c r="G136" s="92">
        <v>1235</v>
      </c>
      <c r="H136" t="s" s="8">
        <v>6</v>
      </c>
      <c r="I136" s="23"/>
      <c r="J136" t="s" s="8">
        <v>6</v>
      </c>
      <c r="K136" s="27"/>
      <c r="L136" t="s" s="8">
        <v>6</v>
      </c>
      <c r="M136" s="18"/>
      <c r="N136" t="s" s="8">
        <v>6</v>
      </c>
      <c r="O136" s="18"/>
      <c r="P136" t="s" s="8">
        <v>6</v>
      </c>
      <c r="Q136" s="18"/>
      <c r="R136" s="74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"/>
      <c r="AE136" s="7"/>
      <c r="AF136" s="7"/>
    </row>
    <row r="137" ht="13.75" customHeight="1">
      <c r="A137" s="84"/>
      <c r="B137" t="s" s="124">
        <v>68</v>
      </c>
      <c r="C137" t="s" s="8">
        <v>7</v>
      </c>
      <c r="D137" s="25">
        <v>1000</v>
      </c>
      <c r="E137" s="9"/>
      <c r="F137" t="s" s="8">
        <v>8</v>
      </c>
      <c r="G137" s="98">
        <v>800</v>
      </c>
      <c r="H137" t="s" s="8">
        <v>8</v>
      </c>
      <c r="I137" s="27"/>
      <c r="J137" t="s" s="8">
        <v>8</v>
      </c>
      <c r="K137" s="27"/>
      <c r="L137" t="s" s="8">
        <v>8</v>
      </c>
      <c r="M137" s="27"/>
      <c r="N137" t="s" s="8">
        <v>8</v>
      </c>
      <c r="O137" s="27"/>
      <c r="P137" t="s" s="8">
        <v>8</v>
      </c>
      <c r="Q137" s="27"/>
      <c r="R137" s="74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"/>
      <c r="AE137" s="7"/>
      <c r="AF137" s="7"/>
    </row>
    <row r="138" ht="13.55" customHeight="1">
      <c r="A138" s="84"/>
      <c r="B138" s="23"/>
      <c r="C138" t="s" s="8">
        <v>9</v>
      </c>
      <c r="D138" s="25">
        <v>1000</v>
      </c>
      <c r="E138" s="9"/>
      <c r="F138" t="s" s="8">
        <v>10</v>
      </c>
      <c r="G138" t="s" s="33">
        <v>131</v>
      </c>
      <c r="H138" t="s" s="8">
        <v>10</v>
      </c>
      <c r="I138" s="34"/>
      <c r="J138" t="s" s="8">
        <v>10</v>
      </c>
      <c r="K138" s="27"/>
      <c r="L138" t="s" s="8">
        <v>10</v>
      </c>
      <c r="M138" s="34"/>
      <c r="N138" t="s" s="8">
        <v>10</v>
      </c>
      <c r="O138" s="34"/>
      <c r="P138" t="s" s="8">
        <v>10</v>
      </c>
      <c r="Q138" s="34"/>
      <c r="R138" s="74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"/>
      <c r="AE138" s="7"/>
      <c r="AF138" s="7"/>
    </row>
    <row r="139" ht="13.75" customHeight="1">
      <c r="A139" s="84"/>
      <c r="B139" t="s" s="8">
        <v>132</v>
      </c>
      <c r="C139" s="9"/>
      <c r="D139" s="9"/>
      <c r="E139" t="s" s="8">
        <v>14</v>
      </c>
      <c r="F139" t="s" s="8">
        <v>6</v>
      </c>
      <c r="G139" s="76"/>
      <c r="H139" t="s" s="8">
        <v>6</v>
      </c>
      <c r="I139" s="24"/>
      <c r="J139" t="s" s="8">
        <v>6</v>
      </c>
      <c r="K139" s="24"/>
      <c r="L139" t="s" s="8">
        <v>6</v>
      </c>
      <c r="M139" s="18"/>
      <c r="N139" t="s" s="8">
        <v>6</v>
      </c>
      <c r="O139" s="18"/>
      <c r="P139" t="s" s="8">
        <v>6</v>
      </c>
      <c r="Q139" s="18"/>
      <c r="R139" s="13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3.55" customHeight="1">
      <c r="A140" s="84"/>
      <c r="B140" t="s" s="8">
        <v>133</v>
      </c>
      <c r="C140" s="9"/>
      <c r="D140" s="9"/>
      <c r="E140" s="9"/>
      <c r="F140" t="s" s="8">
        <v>8</v>
      </c>
      <c r="G140" s="77"/>
      <c r="H140" t="s" s="8">
        <v>8</v>
      </c>
      <c r="I140" s="32"/>
      <c r="J140" t="s" s="8">
        <v>8</v>
      </c>
      <c r="K140" s="32"/>
      <c r="L140" t="s" s="8">
        <v>8</v>
      </c>
      <c r="M140" s="27"/>
      <c r="N140" t="s" s="8">
        <v>8</v>
      </c>
      <c r="O140" s="27"/>
      <c r="P140" t="s" s="8">
        <v>8</v>
      </c>
      <c r="Q140" s="27"/>
      <c r="R140" s="74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"/>
      <c r="AE140" s="7"/>
      <c r="AF140" s="7"/>
    </row>
    <row r="141" ht="13.55" customHeight="1">
      <c r="A141" s="85"/>
      <c r="B141" s="9"/>
      <c r="C141" s="9"/>
      <c r="D141" s="9"/>
      <c r="E141" s="9"/>
      <c r="F141" t="s" s="8">
        <v>10</v>
      </c>
      <c r="G141" s="78"/>
      <c r="H141" t="s" s="8">
        <v>10</v>
      </c>
      <c r="I141" s="115"/>
      <c r="J141" t="s" s="8">
        <v>10</v>
      </c>
      <c r="K141" s="115"/>
      <c r="L141" t="s" s="8">
        <v>10</v>
      </c>
      <c r="M141" s="34"/>
      <c r="N141" t="s" s="8">
        <v>10</v>
      </c>
      <c r="O141" s="34"/>
      <c r="P141" t="s" s="8">
        <v>10</v>
      </c>
      <c r="Q141" s="34"/>
      <c r="R141" s="74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"/>
      <c r="AE141" s="7"/>
      <c r="AF141" s="7"/>
    </row>
    <row r="142" ht="13.55" customHeight="1">
      <c r="A142" s="112"/>
      <c r="B142" s="113"/>
      <c r="C142" s="65"/>
      <c r="D142" s="65"/>
      <c r="E142" s="66"/>
      <c r="F142" s="66"/>
      <c r="G142" s="67"/>
      <c r="H142" s="66"/>
      <c r="I142" s="110"/>
      <c r="J142" s="66"/>
      <c r="K142" s="116"/>
      <c r="L142" s="66"/>
      <c r="M142" s="67"/>
      <c r="N142" s="66"/>
      <c r="O142" s="67"/>
      <c r="P142" s="66"/>
      <c r="Q142" s="69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"/>
      <c r="AE142" s="7"/>
      <c r="AF142" s="7"/>
    </row>
    <row r="143" ht="13.75" customHeight="1">
      <c r="A143" s="83">
        <v>21</v>
      </c>
      <c r="B143" t="s" s="15">
        <v>134</v>
      </c>
      <c r="C143" s="9"/>
      <c r="D143" s="9"/>
      <c r="E143" t="s" s="8">
        <v>5</v>
      </c>
      <c r="F143" t="s" s="8">
        <v>6</v>
      </c>
      <c r="G143" s="19"/>
      <c r="H143" t="s" s="8">
        <v>6</v>
      </c>
      <c r="I143" s="23"/>
      <c r="J143" t="s" s="8">
        <v>6</v>
      </c>
      <c r="K143" s="27"/>
      <c r="L143" t="s" s="8">
        <v>6</v>
      </c>
      <c r="M143" s="18"/>
      <c r="N143" t="s" s="8">
        <v>6</v>
      </c>
      <c r="O143" s="18"/>
      <c r="P143" t="s" s="8">
        <v>6</v>
      </c>
      <c r="Q143" s="18"/>
      <c r="R143" s="74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"/>
      <c r="AE143" s="7"/>
      <c r="AF143" s="7"/>
    </row>
    <row r="144" ht="13.75" customHeight="1">
      <c r="A144" s="84"/>
      <c r="B144" t="s" s="124">
        <v>68</v>
      </c>
      <c r="C144" t="s" s="8">
        <v>7</v>
      </c>
      <c r="D144" s="25">
        <v>1000</v>
      </c>
      <c r="E144" t="s" s="8">
        <v>135</v>
      </c>
      <c r="F144" t="s" s="8">
        <v>8</v>
      </c>
      <c r="G144" s="19"/>
      <c r="H144" t="s" s="8">
        <v>8</v>
      </c>
      <c r="I144" s="27"/>
      <c r="J144" t="s" s="8">
        <v>8</v>
      </c>
      <c r="K144" s="27"/>
      <c r="L144" t="s" s="8">
        <v>8</v>
      </c>
      <c r="M144" s="27"/>
      <c r="N144" t="s" s="8">
        <v>8</v>
      </c>
      <c r="O144" s="27"/>
      <c r="P144" t="s" s="8">
        <v>8</v>
      </c>
      <c r="Q144" s="27"/>
      <c r="R144" s="74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"/>
      <c r="AE144" s="7"/>
      <c r="AF144" s="7"/>
    </row>
    <row r="145" ht="13.55" customHeight="1">
      <c r="A145" s="84"/>
      <c r="B145" s="23"/>
      <c r="C145" t="s" s="8">
        <v>9</v>
      </c>
      <c r="D145" s="25">
        <v>1000</v>
      </c>
      <c r="E145" s="9"/>
      <c r="F145" t="s" s="8">
        <v>10</v>
      </c>
      <c r="G145" s="19"/>
      <c r="H145" t="s" s="8">
        <v>10</v>
      </c>
      <c r="I145" s="34"/>
      <c r="J145" t="s" s="8">
        <v>10</v>
      </c>
      <c r="K145" s="27"/>
      <c r="L145" t="s" s="8">
        <v>10</v>
      </c>
      <c r="M145" s="34"/>
      <c r="N145" t="s" s="8">
        <v>10</v>
      </c>
      <c r="O145" s="34"/>
      <c r="P145" t="s" s="8">
        <v>10</v>
      </c>
      <c r="Q145" s="34"/>
      <c r="R145" s="74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"/>
      <c r="AE145" s="7"/>
      <c r="AF145" s="7"/>
    </row>
    <row r="146" ht="13.75" customHeight="1">
      <c r="A146" s="84"/>
      <c r="B146" t="s" s="8">
        <v>136</v>
      </c>
      <c r="C146" s="9"/>
      <c r="D146" s="9"/>
      <c r="E146" t="s" s="8">
        <v>14</v>
      </c>
      <c r="F146" t="s" s="8">
        <v>6</v>
      </c>
      <c r="G146" s="76"/>
      <c r="H146" t="s" s="8">
        <v>6</v>
      </c>
      <c r="I146" s="24"/>
      <c r="J146" t="s" s="8">
        <v>6</v>
      </c>
      <c r="K146" s="24"/>
      <c r="L146" t="s" s="8">
        <v>6</v>
      </c>
      <c r="M146" s="18"/>
      <c r="N146" t="s" s="8">
        <v>6</v>
      </c>
      <c r="O146" s="18"/>
      <c r="P146" t="s" s="8">
        <v>6</v>
      </c>
      <c r="Q146" s="18"/>
      <c r="R146" s="13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3.55" customHeight="1">
      <c r="A147" s="84"/>
      <c r="B147" t="s" s="8">
        <v>137</v>
      </c>
      <c r="C147" s="9"/>
      <c r="D147" s="9"/>
      <c r="E147" s="9"/>
      <c r="F147" t="s" s="8">
        <v>8</v>
      </c>
      <c r="G147" s="77"/>
      <c r="H147" t="s" s="8">
        <v>8</v>
      </c>
      <c r="I147" s="32"/>
      <c r="J147" t="s" s="8">
        <v>8</v>
      </c>
      <c r="K147" s="32"/>
      <c r="L147" t="s" s="8">
        <v>8</v>
      </c>
      <c r="M147" s="27"/>
      <c r="N147" t="s" s="8">
        <v>8</v>
      </c>
      <c r="O147" s="27"/>
      <c r="P147" t="s" s="8">
        <v>8</v>
      </c>
      <c r="Q147" s="27"/>
      <c r="R147" s="74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"/>
      <c r="AE147" s="7"/>
      <c r="AF147" s="7"/>
    </row>
    <row r="148" ht="13.55" customHeight="1">
      <c r="A148" s="85"/>
      <c r="B148" s="9"/>
      <c r="C148" s="9"/>
      <c r="D148" s="9"/>
      <c r="E148" s="9"/>
      <c r="F148" t="s" s="8">
        <v>10</v>
      </c>
      <c r="G148" s="78"/>
      <c r="H148" t="s" s="8">
        <v>10</v>
      </c>
      <c r="I148" s="115"/>
      <c r="J148" t="s" s="8">
        <v>10</v>
      </c>
      <c r="K148" s="115"/>
      <c r="L148" t="s" s="8">
        <v>10</v>
      </c>
      <c r="M148" s="34"/>
      <c r="N148" t="s" s="8">
        <v>10</v>
      </c>
      <c r="O148" s="34"/>
      <c r="P148" t="s" s="8">
        <v>10</v>
      </c>
      <c r="Q148" s="34"/>
      <c r="R148" s="74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"/>
      <c r="AE148" s="7"/>
      <c r="AF148" s="7"/>
    </row>
    <row r="149" ht="13.55" customHeight="1">
      <c r="A149" s="112"/>
      <c r="B149" s="113"/>
      <c r="C149" s="65"/>
      <c r="D149" s="65"/>
      <c r="E149" s="66"/>
      <c r="F149" s="66"/>
      <c r="G149" s="67"/>
      <c r="H149" s="66"/>
      <c r="I149" s="110"/>
      <c r="J149" s="66"/>
      <c r="K149" s="116"/>
      <c r="L149" s="66"/>
      <c r="M149" s="67"/>
      <c r="N149" s="66"/>
      <c r="O149" s="67"/>
      <c r="P149" s="66"/>
      <c r="Q149" s="69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"/>
      <c r="AE149" s="7"/>
      <c r="AF149" s="7"/>
    </row>
    <row r="150" ht="13.75" customHeight="1">
      <c r="A150" s="83">
        <v>22</v>
      </c>
      <c r="B150" t="s" s="15">
        <v>138</v>
      </c>
      <c r="C150" s="9"/>
      <c r="D150" s="9"/>
      <c r="E150" t="s" s="8">
        <v>5</v>
      </c>
      <c r="F150" t="s" s="8">
        <v>6</v>
      </c>
      <c r="G150" s="92">
        <v>1109</v>
      </c>
      <c r="H150" t="s" s="8">
        <v>6</v>
      </c>
      <c r="I150" s="92">
        <v>1109</v>
      </c>
      <c r="J150" t="s" s="8">
        <v>6</v>
      </c>
      <c r="K150" s="92">
        <v>1109</v>
      </c>
      <c r="L150" t="s" s="8">
        <v>6</v>
      </c>
      <c r="M150" s="18"/>
      <c r="N150" t="s" s="8">
        <v>6</v>
      </c>
      <c r="O150" s="18"/>
      <c r="P150" t="s" s="8">
        <v>6</v>
      </c>
      <c r="Q150" s="18"/>
      <c r="R150" s="74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"/>
      <c r="AE150" s="7"/>
      <c r="AF150" s="7"/>
    </row>
    <row r="151" ht="13.75" customHeight="1">
      <c r="A151" s="84"/>
      <c r="B151" t="s" s="124">
        <v>68</v>
      </c>
      <c r="C151" t="s" s="8">
        <v>7</v>
      </c>
      <c r="D151" s="25">
        <v>1000</v>
      </c>
      <c r="E151" s="9"/>
      <c r="F151" t="s" s="8">
        <v>8</v>
      </c>
      <c r="G151" s="98">
        <v>850</v>
      </c>
      <c r="H151" t="s" s="8">
        <v>8</v>
      </c>
      <c r="I151" s="98">
        <v>850</v>
      </c>
      <c r="J151" t="s" s="8">
        <v>8</v>
      </c>
      <c r="K151" s="98">
        <v>850</v>
      </c>
      <c r="L151" t="s" s="8">
        <v>8</v>
      </c>
      <c r="M151" s="27"/>
      <c r="N151" t="s" s="8">
        <v>8</v>
      </c>
      <c r="O151" s="27"/>
      <c r="P151" t="s" s="8">
        <v>8</v>
      </c>
      <c r="Q151" s="27"/>
      <c r="R151" s="74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"/>
      <c r="AE151" s="7"/>
      <c r="AF151" s="7"/>
    </row>
    <row r="152" ht="13.55" customHeight="1">
      <c r="A152" s="84"/>
      <c r="B152" s="23"/>
      <c r="C152" t="s" s="8">
        <v>9</v>
      </c>
      <c r="D152" s="25">
        <v>1000</v>
      </c>
      <c r="E152" s="9"/>
      <c r="F152" t="s" s="8">
        <v>10</v>
      </c>
      <c r="G152" t="s" s="33">
        <v>23</v>
      </c>
      <c r="H152" t="s" s="8">
        <v>10</v>
      </c>
      <c r="I152" t="s" s="33">
        <v>23</v>
      </c>
      <c r="J152" t="s" s="8">
        <v>10</v>
      </c>
      <c r="K152" t="s" s="33">
        <v>23</v>
      </c>
      <c r="L152" t="s" s="8">
        <v>10</v>
      </c>
      <c r="M152" s="34"/>
      <c r="N152" t="s" s="8">
        <v>10</v>
      </c>
      <c r="O152" s="34"/>
      <c r="P152" t="s" s="8">
        <v>10</v>
      </c>
      <c r="Q152" s="34"/>
      <c r="R152" s="74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"/>
      <c r="AE152" s="7"/>
      <c r="AF152" s="7"/>
    </row>
    <row r="153" ht="13.75" customHeight="1">
      <c r="A153" s="84"/>
      <c r="B153" t="s" s="8">
        <v>139</v>
      </c>
      <c r="C153" s="9"/>
      <c r="D153" s="9"/>
      <c r="E153" t="s" s="8">
        <v>14</v>
      </c>
      <c r="F153" t="s" s="8">
        <v>6</v>
      </c>
      <c r="G153" s="31">
        <v>2037</v>
      </c>
      <c r="H153" t="s" s="8">
        <v>6</v>
      </c>
      <c r="I153" s="92">
        <v>2037</v>
      </c>
      <c r="J153" t="s" s="8">
        <v>6</v>
      </c>
      <c r="K153" s="24"/>
      <c r="L153" t="s" s="8">
        <v>6</v>
      </c>
      <c r="M153" s="18"/>
      <c r="N153" t="s" s="8">
        <v>6</v>
      </c>
      <c r="O153" s="18"/>
      <c r="P153" t="s" s="8">
        <v>6</v>
      </c>
      <c r="Q153" s="18"/>
      <c r="R153" s="13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3.55" customHeight="1">
      <c r="A154" s="84"/>
      <c r="B154" t="s" s="8">
        <v>140</v>
      </c>
      <c r="C154" s="9"/>
      <c r="D154" s="9"/>
      <c r="E154" s="9"/>
      <c r="F154" t="s" s="8">
        <v>8</v>
      </c>
      <c r="G154" s="98">
        <v>800</v>
      </c>
      <c r="H154" t="s" s="8">
        <v>8</v>
      </c>
      <c r="I154" s="98">
        <v>800</v>
      </c>
      <c r="J154" t="s" s="8">
        <v>8</v>
      </c>
      <c r="K154" s="32"/>
      <c r="L154" t="s" s="8">
        <v>8</v>
      </c>
      <c r="M154" s="27"/>
      <c r="N154" t="s" s="8">
        <v>8</v>
      </c>
      <c r="O154" s="27"/>
      <c r="P154" t="s" s="8">
        <v>8</v>
      </c>
      <c r="Q154" s="27"/>
      <c r="R154" s="74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"/>
      <c r="AE154" s="7"/>
      <c r="AF154" s="7"/>
    </row>
    <row r="155" ht="13.55" customHeight="1">
      <c r="A155" s="85"/>
      <c r="B155" s="9"/>
      <c r="C155" s="9"/>
      <c r="D155" s="9"/>
      <c r="E155" s="9"/>
      <c r="F155" t="s" s="8">
        <v>10</v>
      </c>
      <c r="G155" t="s" s="33">
        <v>23</v>
      </c>
      <c r="H155" t="s" s="8">
        <v>10</v>
      </c>
      <c r="I155" t="s" s="33">
        <v>23</v>
      </c>
      <c r="J155" t="s" s="8">
        <v>10</v>
      </c>
      <c r="K155" s="115"/>
      <c r="L155" t="s" s="8">
        <v>10</v>
      </c>
      <c r="M155" s="34"/>
      <c r="N155" t="s" s="8">
        <v>10</v>
      </c>
      <c r="O155" s="34"/>
      <c r="P155" t="s" s="8">
        <v>10</v>
      </c>
      <c r="Q155" s="34"/>
      <c r="R155" s="74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"/>
      <c r="AE155" s="7"/>
      <c r="AF155" s="7"/>
    </row>
    <row r="156" ht="13.55" customHeight="1">
      <c r="A156" s="112"/>
      <c r="B156" s="113"/>
      <c r="C156" s="65"/>
      <c r="D156" s="65"/>
      <c r="E156" s="66"/>
      <c r="F156" s="66"/>
      <c r="G156" s="67"/>
      <c r="H156" s="66"/>
      <c r="I156" s="67"/>
      <c r="J156" s="66"/>
      <c r="K156" s="116"/>
      <c r="L156" s="66"/>
      <c r="M156" s="67"/>
      <c r="N156" s="66"/>
      <c r="O156" s="67"/>
      <c r="P156" s="66"/>
      <c r="Q156" s="69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"/>
      <c r="AE156" s="7"/>
      <c r="AF156" s="7"/>
    </row>
    <row r="157" ht="13.75" customHeight="1">
      <c r="A157" s="83">
        <v>23</v>
      </c>
      <c r="B157" t="s" s="15">
        <v>141</v>
      </c>
      <c r="C157" s="9"/>
      <c r="D157" s="9"/>
      <c r="E157" t="s" s="8">
        <v>5</v>
      </c>
      <c r="F157" t="s" s="8">
        <v>6</v>
      </c>
      <c r="G157" s="92">
        <v>3170</v>
      </c>
      <c r="H157" t="s" s="8">
        <v>6</v>
      </c>
      <c r="I157" s="92">
        <v>3170</v>
      </c>
      <c r="J157" t="s" s="8">
        <v>6</v>
      </c>
      <c r="K157" s="92">
        <v>3170</v>
      </c>
      <c r="L157" t="s" s="8">
        <v>6</v>
      </c>
      <c r="M157" s="18"/>
      <c r="N157" t="s" s="8">
        <v>6</v>
      </c>
      <c r="O157" s="18"/>
      <c r="P157" t="s" s="8">
        <v>6</v>
      </c>
      <c r="Q157" s="18"/>
      <c r="R157" s="13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3.75" customHeight="1">
      <c r="A158" s="84"/>
      <c r="B158" t="s" s="124">
        <v>68</v>
      </c>
      <c r="C158" t="s" s="8">
        <v>7</v>
      </c>
      <c r="D158" s="25">
        <v>1000</v>
      </c>
      <c r="E158" s="9"/>
      <c r="F158" t="s" s="8">
        <v>8</v>
      </c>
      <c r="G158" s="98">
        <v>900</v>
      </c>
      <c r="H158" t="s" s="8">
        <v>8</v>
      </c>
      <c r="I158" s="98">
        <v>900</v>
      </c>
      <c r="J158" t="s" s="8">
        <v>8</v>
      </c>
      <c r="K158" s="98">
        <v>900</v>
      </c>
      <c r="L158" t="s" s="8">
        <v>8</v>
      </c>
      <c r="M158" s="27"/>
      <c r="N158" t="s" s="8">
        <v>8</v>
      </c>
      <c r="O158" s="27"/>
      <c r="P158" t="s" s="8">
        <v>8</v>
      </c>
      <c r="Q158" s="27"/>
      <c r="R158" s="13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3.55" customHeight="1">
      <c r="A159" s="84"/>
      <c r="B159" s="23"/>
      <c r="C159" t="s" s="8">
        <v>9</v>
      </c>
      <c r="D159" s="25">
        <v>1000</v>
      </c>
      <c r="E159" s="9"/>
      <c r="F159" t="s" s="8">
        <v>10</v>
      </c>
      <c r="G159" t="s" s="33">
        <v>142</v>
      </c>
      <c r="H159" t="s" s="8">
        <v>10</v>
      </c>
      <c r="I159" t="s" s="33">
        <v>142</v>
      </c>
      <c r="J159" t="s" s="8">
        <v>10</v>
      </c>
      <c r="K159" t="s" s="33">
        <v>142</v>
      </c>
      <c r="L159" t="s" s="8">
        <v>10</v>
      </c>
      <c r="M159" s="34"/>
      <c r="N159" t="s" s="8">
        <v>10</v>
      </c>
      <c r="O159" s="34"/>
      <c r="P159" t="s" s="8">
        <v>10</v>
      </c>
      <c r="Q159" s="34"/>
      <c r="R159" s="13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3.75" customHeight="1">
      <c r="A160" s="84"/>
      <c r="B160" t="s" s="8">
        <v>143</v>
      </c>
      <c r="C160" s="9"/>
      <c r="D160" s="9"/>
      <c r="E160" t="s" s="8">
        <v>14</v>
      </c>
      <c r="F160" t="s" s="8">
        <v>6</v>
      </c>
      <c r="G160" s="23"/>
      <c r="H160" t="s" s="8">
        <v>6</v>
      </c>
      <c r="I160" s="31">
        <v>2153</v>
      </c>
      <c r="J160" t="s" s="8">
        <v>6</v>
      </c>
      <c r="K160" s="24"/>
      <c r="L160" t="s" s="8">
        <v>6</v>
      </c>
      <c r="M160" s="18"/>
      <c r="N160" t="s" s="8">
        <v>6</v>
      </c>
      <c r="O160" s="18"/>
      <c r="P160" t="s" s="8">
        <v>6</v>
      </c>
      <c r="Q160" s="18"/>
      <c r="R160" s="13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3.55" customHeight="1">
      <c r="A161" s="84"/>
      <c r="B161" t="s" s="8">
        <v>144</v>
      </c>
      <c r="C161" s="9"/>
      <c r="D161" s="9"/>
      <c r="E161" s="9"/>
      <c r="F161" t="s" s="8">
        <v>8</v>
      </c>
      <c r="G161" s="19"/>
      <c r="H161" t="s" s="8">
        <v>8</v>
      </c>
      <c r="I161" s="98">
        <v>1000</v>
      </c>
      <c r="J161" t="s" s="8">
        <v>8</v>
      </c>
      <c r="K161" s="32"/>
      <c r="L161" t="s" s="8">
        <v>8</v>
      </c>
      <c r="M161" s="27"/>
      <c r="N161" t="s" s="8">
        <v>8</v>
      </c>
      <c r="O161" s="27"/>
      <c r="P161" t="s" s="8">
        <v>8</v>
      </c>
      <c r="Q161" s="27"/>
      <c r="R161" s="13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3.55" customHeight="1">
      <c r="A162" s="85"/>
      <c r="B162" s="9"/>
      <c r="C162" s="9"/>
      <c r="D162" s="9"/>
      <c r="E162" s="9"/>
      <c r="F162" t="s" s="8">
        <v>10</v>
      </c>
      <c r="G162" s="34"/>
      <c r="H162" t="s" s="8">
        <v>10</v>
      </c>
      <c r="I162" t="s" s="33">
        <v>142</v>
      </c>
      <c r="J162" t="s" s="8">
        <v>10</v>
      </c>
      <c r="K162" s="115"/>
      <c r="L162" t="s" s="8">
        <v>10</v>
      </c>
      <c r="M162" s="34"/>
      <c r="N162" t="s" s="8">
        <v>10</v>
      </c>
      <c r="O162" s="34"/>
      <c r="P162" t="s" s="8">
        <v>10</v>
      </c>
      <c r="Q162" s="34"/>
      <c r="R162" s="13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3.55" customHeight="1">
      <c r="A163" s="112"/>
      <c r="B163" s="113"/>
      <c r="C163" s="65"/>
      <c r="D163" s="65"/>
      <c r="E163" s="65"/>
      <c r="F163" s="65"/>
      <c r="G163" s="65"/>
      <c r="H163" s="65"/>
      <c r="I163" s="65"/>
      <c r="J163" s="65"/>
      <c r="K163" s="111"/>
      <c r="L163" s="65"/>
      <c r="M163" s="65"/>
      <c r="N163" s="65"/>
      <c r="O163" s="65"/>
      <c r="P163" s="65"/>
      <c r="Q163" s="65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3.75" customHeight="1">
      <c r="A164" s="83">
        <v>24</v>
      </c>
      <c r="B164" t="s" s="15">
        <v>145</v>
      </c>
      <c r="C164" s="9"/>
      <c r="D164" s="9"/>
      <c r="E164" t="s" s="8">
        <v>5</v>
      </c>
      <c r="F164" t="s" s="8">
        <v>6</v>
      </c>
      <c r="G164" s="92">
        <v>3197</v>
      </c>
      <c r="H164" t="s" s="8">
        <v>6</v>
      </c>
      <c r="I164" s="92">
        <v>3197</v>
      </c>
      <c r="J164" t="s" s="8">
        <v>6</v>
      </c>
      <c r="K164" s="126"/>
      <c r="L164" t="s" s="8">
        <v>6</v>
      </c>
      <c r="M164" s="18"/>
      <c r="N164" t="s" s="8">
        <v>6</v>
      </c>
      <c r="O164" s="18"/>
      <c r="P164" t="s" s="8">
        <v>6</v>
      </c>
      <c r="Q164" s="18"/>
      <c r="R164" s="13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3.75" customHeight="1">
      <c r="A165" s="84"/>
      <c r="B165" t="s" s="124">
        <v>68</v>
      </c>
      <c r="C165" t="s" s="8">
        <v>7</v>
      </c>
      <c r="D165" s="25">
        <v>1000</v>
      </c>
      <c r="E165" s="9"/>
      <c r="F165" t="s" s="8">
        <v>8</v>
      </c>
      <c r="G165" s="98">
        <v>850</v>
      </c>
      <c r="H165" t="s" s="8">
        <v>8</v>
      </c>
      <c r="I165" s="98">
        <v>850</v>
      </c>
      <c r="J165" t="s" s="8">
        <v>8</v>
      </c>
      <c r="K165" s="19"/>
      <c r="L165" t="s" s="8">
        <v>8</v>
      </c>
      <c r="M165" s="27"/>
      <c r="N165" t="s" s="8">
        <v>8</v>
      </c>
      <c r="O165" s="27"/>
      <c r="P165" t="s" s="8">
        <v>8</v>
      </c>
      <c r="Q165" s="27"/>
      <c r="R165" s="13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3.55" customHeight="1">
      <c r="A166" s="84"/>
      <c r="B166" s="23"/>
      <c r="C166" t="s" s="8">
        <v>9</v>
      </c>
      <c r="D166" s="25">
        <v>1000</v>
      </c>
      <c r="E166" s="9"/>
      <c r="F166" t="s" s="8">
        <v>10</v>
      </c>
      <c r="G166" t="s" s="33">
        <v>24</v>
      </c>
      <c r="H166" t="s" s="8">
        <v>10</v>
      </c>
      <c r="I166" t="s" s="33">
        <v>24</v>
      </c>
      <c r="J166" t="s" s="8">
        <v>10</v>
      </c>
      <c r="K166" s="126"/>
      <c r="L166" t="s" s="8">
        <v>10</v>
      </c>
      <c r="M166" s="34"/>
      <c r="N166" t="s" s="8">
        <v>10</v>
      </c>
      <c r="O166" s="34"/>
      <c r="P166" t="s" s="8">
        <v>10</v>
      </c>
      <c r="Q166" s="34"/>
      <c r="R166" s="13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3.75" customHeight="1">
      <c r="A167" s="84"/>
      <c r="B167" t="s" s="8">
        <v>146</v>
      </c>
      <c r="C167" s="9"/>
      <c r="D167" s="9"/>
      <c r="E167" t="s" s="8">
        <v>14</v>
      </c>
      <c r="F167" t="s" s="8">
        <v>6</v>
      </c>
      <c r="G167" s="23"/>
      <c r="H167" t="s" s="8">
        <v>6</v>
      </c>
      <c r="I167" s="31">
        <v>2172</v>
      </c>
      <c r="J167" t="s" s="8">
        <v>6</v>
      </c>
      <c r="K167" s="24"/>
      <c r="L167" t="s" s="8">
        <v>6</v>
      </c>
      <c r="M167" s="18"/>
      <c r="N167" t="s" s="8">
        <v>6</v>
      </c>
      <c r="O167" s="18"/>
      <c r="P167" t="s" s="8">
        <v>6</v>
      </c>
      <c r="Q167" s="18"/>
      <c r="R167" s="13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3.55" customHeight="1">
      <c r="A168" s="84"/>
      <c r="B168" t="s" s="8">
        <v>147</v>
      </c>
      <c r="C168" s="9"/>
      <c r="D168" s="9"/>
      <c r="E168" s="9"/>
      <c r="F168" t="s" s="8">
        <v>8</v>
      </c>
      <c r="G168" s="19"/>
      <c r="H168" t="s" s="8">
        <v>8</v>
      </c>
      <c r="I168" s="98">
        <v>800</v>
      </c>
      <c r="J168" t="s" s="8">
        <v>8</v>
      </c>
      <c r="K168" s="32"/>
      <c r="L168" t="s" s="8">
        <v>8</v>
      </c>
      <c r="M168" s="27"/>
      <c r="N168" t="s" s="8">
        <v>8</v>
      </c>
      <c r="O168" s="27"/>
      <c r="P168" t="s" s="8">
        <v>8</v>
      </c>
      <c r="Q168" s="27"/>
      <c r="R168" s="13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3.55" customHeight="1">
      <c r="A169" s="85"/>
      <c r="B169" s="9"/>
      <c r="C169" s="9"/>
      <c r="D169" s="9"/>
      <c r="E169" s="9"/>
      <c r="F169" t="s" s="8">
        <v>10</v>
      </c>
      <c r="G169" s="34"/>
      <c r="H169" t="s" s="8">
        <v>10</v>
      </c>
      <c r="I169" t="s" s="33">
        <v>24</v>
      </c>
      <c r="J169" t="s" s="8">
        <v>10</v>
      </c>
      <c r="K169" s="115"/>
      <c r="L169" t="s" s="8">
        <v>10</v>
      </c>
      <c r="M169" s="34"/>
      <c r="N169" t="s" s="8">
        <v>10</v>
      </c>
      <c r="O169" s="34"/>
      <c r="P169" t="s" s="8">
        <v>10</v>
      </c>
      <c r="Q169" s="34"/>
      <c r="R169" s="13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3.55" customHeight="1">
      <c r="A170" s="112"/>
      <c r="B170" s="113"/>
      <c r="C170" s="65"/>
      <c r="D170" s="65"/>
      <c r="E170" s="65"/>
      <c r="F170" s="65"/>
      <c r="G170" s="65"/>
      <c r="H170" s="65"/>
      <c r="I170" s="65"/>
      <c r="J170" s="65"/>
      <c r="K170" s="111"/>
      <c r="L170" s="65"/>
      <c r="M170" s="65"/>
      <c r="N170" s="65"/>
      <c r="O170" s="65"/>
      <c r="P170" s="65"/>
      <c r="Q170" s="65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3.75" customHeight="1">
      <c r="A171" s="83">
        <v>25</v>
      </c>
      <c r="B171" t="s" s="15">
        <v>148</v>
      </c>
      <c r="C171" s="9"/>
      <c r="D171" s="9"/>
      <c r="E171" t="s" s="8">
        <v>5</v>
      </c>
      <c r="F171" t="s" s="8">
        <v>6</v>
      </c>
      <c r="G171" s="92">
        <v>3192</v>
      </c>
      <c r="H171" t="s" s="8">
        <v>6</v>
      </c>
      <c r="I171" s="92">
        <v>3192</v>
      </c>
      <c r="J171" t="s" s="8">
        <v>6</v>
      </c>
      <c r="K171" s="126"/>
      <c r="L171" t="s" s="8">
        <v>6</v>
      </c>
      <c r="M171" s="18"/>
      <c r="N171" t="s" s="8">
        <v>6</v>
      </c>
      <c r="O171" s="18"/>
      <c r="P171" t="s" s="8">
        <v>6</v>
      </c>
      <c r="Q171" s="18"/>
      <c r="R171" s="13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3.55" customHeight="1">
      <c r="A172" s="84"/>
      <c r="B172" s="23"/>
      <c r="C172" s="9"/>
      <c r="D172" s="42"/>
      <c r="E172" s="9"/>
      <c r="F172" t="s" s="8">
        <v>8</v>
      </c>
      <c r="G172" s="98">
        <v>425</v>
      </c>
      <c r="H172" t="s" s="8">
        <v>8</v>
      </c>
      <c r="I172" s="98" cm="1">
        <f t="array" ref="I172">75+350</f>
        <v>425</v>
      </c>
      <c r="J172" t="s" s="8">
        <v>8</v>
      </c>
      <c r="K172" s="19"/>
      <c r="L172" t="s" s="8">
        <v>8</v>
      </c>
      <c r="M172" s="27"/>
      <c r="N172" t="s" s="8">
        <v>8</v>
      </c>
      <c r="O172" s="27"/>
      <c r="P172" t="s" s="8">
        <v>8</v>
      </c>
      <c r="Q172" s="27"/>
      <c r="R172" s="13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3.75" customHeight="1">
      <c r="A173" s="84"/>
      <c r="B173" t="s" s="87">
        <v>149</v>
      </c>
      <c r="C173" t="s" s="8">
        <v>9</v>
      </c>
      <c r="D173" s="25">
        <v>1000</v>
      </c>
      <c r="E173" s="9"/>
      <c r="F173" t="s" s="8">
        <v>10</v>
      </c>
      <c r="G173" t="s" s="33">
        <v>24</v>
      </c>
      <c r="H173" t="s" s="8">
        <v>10</v>
      </c>
      <c r="I173" t="s" s="33">
        <v>24</v>
      </c>
      <c r="J173" t="s" s="8">
        <v>10</v>
      </c>
      <c r="K173" s="126"/>
      <c r="L173" t="s" s="8">
        <v>10</v>
      </c>
      <c r="M173" s="34"/>
      <c r="N173" t="s" s="8">
        <v>10</v>
      </c>
      <c r="O173" s="34"/>
      <c r="P173" t="s" s="8">
        <v>10</v>
      </c>
      <c r="Q173" s="34"/>
      <c r="R173" s="13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3.75" customHeight="1">
      <c r="A174" s="84"/>
      <c r="B174" t="s" s="8">
        <v>150</v>
      </c>
      <c r="C174" s="9"/>
      <c r="D174" s="9"/>
      <c r="E174" t="s" s="8">
        <v>14</v>
      </c>
      <c r="F174" t="s" s="8">
        <v>6</v>
      </c>
      <c r="G174" s="23"/>
      <c r="H174" t="s" s="8">
        <v>6</v>
      </c>
      <c r="I174" s="23"/>
      <c r="J174" t="s" s="8">
        <v>6</v>
      </c>
      <c r="K174" s="24"/>
      <c r="L174" t="s" s="8">
        <v>6</v>
      </c>
      <c r="M174" s="18"/>
      <c r="N174" t="s" s="8">
        <v>6</v>
      </c>
      <c r="O174" s="18"/>
      <c r="P174" t="s" s="8">
        <v>6</v>
      </c>
      <c r="Q174" s="18"/>
      <c r="R174" s="13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3.55" customHeight="1">
      <c r="A175" s="84"/>
      <c r="B175" t="s" s="8">
        <v>151</v>
      </c>
      <c r="C175" s="9"/>
      <c r="D175" s="9"/>
      <c r="E175" s="9"/>
      <c r="F175" t="s" s="8">
        <v>8</v>
      </c>
      <c r="G175" s="19"/>
      <c r="H175" t="s" s="8">
        <v>8</v>
      </c>
      <c r="I175" s="19"/>
      <c r="J175" t="s" s="8">
        <v>8</v>
      </c>
      <c r="K175" s="32"/>
      <c r="L175" t="s" s="8">
        <v>8</v>
      </c>
      <c r="M175" s="27"/>
      <c r="N175" t="s" s="8">
        <v>8</v>
      </c>
      <c r="O175" s="27"/>
      <c r="P175" t="s" s="8">
        <v>8</v>
      </c>
      <c r="Q175" s="27"/>
      <c r="R175" s="13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3.55" customHeight="1">
      <c r="A176" s="85"/>
      <c r="B176" s="9"/>
      <c r="C176" s="9"/>
      <c r="D176" s="9"/>
      <c r="E176" s="9"/>
      <c r="F176" t="s" s="8">
        <v>10</v>
      </c>
      <c r="G176" s="34"/>
      <c r="H176" t="s" s="8">
        <v>10</v>
      </c>
      <c r="I176" s="34"/>
      <c r="J176" t="s" s="8">
        <v>10</v>
      </c>
      <c r="K176" s="115"/>
      <c r="L176" t="s" s="8">
        <v>10</v>
      </c>
      <c r="M176" s="34"/>
      <c r="N176" t="s" s="8">
        <v>10</v>
      </c>
      <c r="O176" s="34"/>
      <c r="P176" t="s" s="8">
        <v>10</v>
      </c>
      <c r="Q176" s="34"/>
      <c r="R176" s="13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</sheetData>
  <mergeCells count="50">
    <mergeCell ref="A59:A64"/>
    <mergeCell ref="A66:A71"/>
    <mergeCell ref="A1:K1"/>
    <mergeCell ref="F2:G2"/>
    <mergeCell ref="H2:I2"/>
    <mergeCell ref="J2:K2"/>
    <mergeCell ref="A38:A43"/>
    <mergeCell ref="K41:K43"/>
    <mergeCell ref="A24:A29"/>
    <mergeCell ref="K27:K29"/>
    <mergeCell ref="A31:A36"/>
    <mergeCell ref="K20:K22"/>
    <mergeCell ref="A17:A22"/>
    <mergeCell ref="A52:A57"/>
    <mergeCell ref="A45:A50"/>
    <mergeCell ref="U111:U113"/>
    <mergeCell ref="A94:A99"/>
    <mergeCell ref="G97:G99"/>
    <mergeCell ref="A101:A106"/>
    <mergeCell ref="A157:A162"/>
    <mergeCell ref="AB2:AC2"/>
    <mergeCell ref="A3:A8"/>
    <mergeCell ref="A10:A15"/>
    <mergeCell ref="K13:K15"/>
    <mergeCell ref="P2:Q2"/>
    <mergeCell ref="R2:S2"/>
    <mergeCell ref="T2:U2"/>
    <mergeCell ref="V2:W2"/>
    <mergeCell ref="X2:Y2"/>
    <mergeCell ref="Z2:AA2"/>
    <mergeCell ref="N2:O2"/>
    <mergeCell ref="L2:M2"/>
    <mergeCell ref="A73:A78"/>
    <mergeCell ref="A122:A127"/>
    <mergeCell ref="A129:A134"/>
    <mergeCell ref="G132:G134"/>
    <mergeCell ref="G118:G120"/>
    <mergeCell ref="A108:A113"/>
    <mergeCell ref="A80:A85"/>
    <mergeCell ref="A87:A92"/>
    <mergeCell ref="G90:G92"/>
    <mergeCell ref="A115:A120"/>
    <mergeCell ref="G76:G78"/>
    <mergeCell ref="A171:A176"/>
    <mergeCell ref="A150:A155"/>
    <mergeCell ref="A136:A141"/>
    <mergeCell ref="G139:G141"/>
    <mergeCell ref="A143:A148"/>
    <mergeCell ref="G146:G148"/>
    <mergeCell ref="A164:A169"/>
  </mergeCells>
  <pageMargins left="0.1" right="0.12" top="0.5" bottom="0.5" header="0.3" footer="0.3"/>
  <pageSetup firstPageNumber="1" fitToHeight="1" fitToWidth="1" scale="7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F267"/>
  <sheetViews>
    <sheetView workbookViewId="0" showGridLines="0" defaultGridColor="1"/>
  </sheetViews>
  <sheetFormatPr defaultColWidth="8.83333" defaultRowHeight="15" customHeight="1" outlineLevelRow="0" outlineLevelCol="0"/>
  <cols>
    <col min="1" max="1" width="5.85156" style="127" customWidth="1"/>
    <col min="2" max="2" width="21.1719" style="127" customWidth="1"/>
    <col min="3" max="16" width="9.17188" style="127" customWidth="1"/>
    <col min="17" max="17" width="9.85156" style="127" customWidth="1"/>
    <col min="18" max="22" width="9.17188" style="127" customWidth="1"/>
    <col min="23" max="29" width="7.85156" style="127" customWidth="1"/>
    <col min="30" max="30" width="9.17188" style="127" customWidth="1"/>
    <col min="31" max="32" width="8.85156" style="127" customWidth="1"/>
    <col min="33" max="16384" width="8.85156" style="127" customWidth="1"/>
  </cols>
  <sheetData>
    <row r="1" ht="23.25" customHeight="1">
      <c r="A1" t="s" s="2">
        <v>152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13"/>
      <c r="AF1" s="7"/>
    </row>
    <row r="2" ht="13.55" customHeight="1">
      <c r="A2" t="s" s="8">
        <v>1</v>
      </c>
      <c r="B2" t="s" s="8">
        <v>2</v>
      </c>
      <c r="C2" s="9"/>
      <c r="D2" s="9"/>
      <c r="E2" s="9"/>
      <c r="F2" s="10">
        <v>46113</v>
      </c>
      <c r="G2" s="11"/>
      <c r="H2" s="10">
        <v>46143</v>
      </c>
      <c r="I2" s="11"/>
      <c r="J2" s="10">
        <v>46174</v>
      </c>
      <c r="K2" s="11"/>
      <c r="L2" s="128">
        <v>46204</v>
      </c>
      <c r="M2" s="129"/>
      <c r="N2" s="10">
        <v>46235</v>
      </c>
      <c r="O2" s="11"/>
      <c r="P2" s="10">
        <v>46266</v>
      </c>
      <c r="Q2" s="11"/>
      <c r="R2" s="10">
        <v>46296</v>
      </c>
      <c r="S2" s="11"/>
      <c r="T2" s="10">
        <v>46327</v>
      </c>
      <c r="U2" s="11"/>
      <c r="V2" s="10">
        <v>46357</v>
      </c>
      <c r="W2" s="11"/>
      <c r="X2" s="10">
        <v>46388</v>
      </c>
      <c r="Y2" s="11"/>
      <c r="Z2" s="10">
        <v>46419</v>
      </c>
      <c r="AA2" s="11"/>
      <c r="AB2" s="10">
        <v>46447</v>
      </c>
      <c r="AC2" s="11"/>
      <c r="AD2" t="s" s="12">
        <v>3</v>
      </c>
      <c r="AE2" s="13"/>
      <c r="AF2" s="7"/>
    </row>
    <row r="3" ht="13.75" customHeight="1">
      <c r="A3" s="14">
        <v>1</v>
      </c>
      <c r="B3" t="s" s="130">
        <v>153</v>
      </c>
      <c r="C3" s="9"/>
      <c r="D3" s="9"/>
      <c r="E3" t="s" s="8">
        <v>5</v>
      </c>
      <c r="F3" t="s" s="8">
        <v>6</v>
      </c>
      <c r="G3" s="16">
        <v>1236</v>
      </c>
      <c r="H3" t="s" s="8">
        <v>6</v>
      </c>
      <c r="I3" s="16">
        <v>1236</v>
      </c>
      <c r="J3" t="s" s="8">
        <v>6</v>
      </c>
      <c r="K3" s="16">
        <v>1236</v>
      </c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8">
        <v>6</v>
      </c>
      <c r="Y3" s="16">
        <v>3076</v>
      </c>
      <c r="Z3" t="s" s="8">
        <v>6</v>
      </c>
      <c r="AA3" s="16">
        <v>3076</v>
      </c>
      <c r="AB3" t="s" s="8">
        <v>6</v>
      </c>
      <c r="AC3" s="16">
        <v>3076</v>
      </c>
      <c r="AD3" s="131"/>
      <c r="AE3" s="13"/>
      <c r="AF3" s="7"/>
    </row>
    <row r="4" ht="13.55" customHeight="1">
      <c r="A4" s="23"/>
      <c r="B4" s="131"/>
      <c r="C4" s="9"/>
      <c r="D4" s="42"/>
      <c r="E4" s="9"/>
      <c r="F4" t="s" s="8">
        <v>8</v>
      </c>
      <c r="G4" s="26">
        <v>850</v>
      </c>
      <c r="H4" t="s" s="8">
        <v>8</v>
      </c>
      <c r="I4" s="26">
        <v>850</v>
      </c>
      <c r="J4" t="s" s="8">
        <v>8</v>
      </c>
      <c r="K4" s="26">
        <v>850</v>
      </c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6">
        <v>850</v>
      </c>
      <c r="Z4" t="s" s="8">
        <v>8</v>
      </c>
      <c r="AA4" s="26">
        <v>850</v>
      </c>
      <c r="AB4" t="s" s="8">
        <v>8</v>
      </c>
      <c r="AC4" s="26">
        <v>850</v>
      </c>
      <c r="AD4" s="132" cm="1">
        <f t="array" ref="AD4">G4+I4+K4+M4+O4+Q4+S4+U4+W4+Y4+AA4+AC4</f>
        <v>5100</v>
      </c>
      <c r="AE4" s="50" cm="1">
        <f t="array" ref="AE4">850*12</f>
        <v>10200</v>
      </c>
      <c r="AF4" s="51" cm="1">
        <f t="array" ref="AF4">AE4-AD4</f>
        <v>5100</v>
      </c>
    </row>
    <row r="5" ht="13.55" customHeight="1">
      <c r="A5" s="23"/>
      <c r="B5" s="9"/>
      <c r="C5" t="s" s="8">
        <v>9</v>
      </c>
      <c r="D5" s="25">
        <v>1000</v>
      </c>
      <c r="E5" s="42"/>
      <c r="F5" t="s" s="8">
        <v>10</v>
      </c>
      <c r="G5" t="s" s="33">
        <v>154</v>
      </c>
      <c r="H5" t="s" s="8">
        <v>10</v>
      </c>
      <c r="I5" t="s" s="33">
        <v>154</v>
      </c>
      <c r="J5" t="s" s="8">
        <v>10</v>
      </c>
      <c r="K5" t="s" s="33">
        <v>154</v>
      </c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t="s" s="33">
        <v>155</v>
      </c>
      <c r="Z5" t="s" s="8">
        <v>10</v>
      </c>
      <c r="AA5" t="s" s="33">
        <v>155</v>
      </c>
      <c r="AB5" t="s" s="8">
        <v>10</v>
      </c>
      <c r="AC5" t="s" s="33">
        <v>155</v>
      </c>
      <c r="AD5" s="131"/>
      <c r="AE5" s="13"/>
      <c r="AF5" s="7"/>
    </row>
    <row r="6" ht="13.75" customHeight="1">
      <c r="A6" s="23"/>
      <c r="B6" t="s" s="8">
        <v>156</v>
      </c>
      <c r="C6" s="133"/>
      <c r="D6" s="134"/>
      <c r="E6" t="s" s="8">
        <v>14</v>
      </c>
      <c r="F6" t="s" s="8">
        <v>6</v>
      </c>
      <c r="G6" s="16">
        <v>2133</v>
      </c>
      <c r="H6" t="s" s="8">
        <v>6</v>
      </c>
      <c r="I6" s="18"/>
      <c r="J6" t="s" s="8">
        <v>6</v>
      </c>
      <c r="K6" s="135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8">
        <v>6</v>
      </c>
      <c r="Y6" s="16">
        <v>1908</v>
      </c>
      <c r="Z6" t="s" s="8">
        <v>6</v>
      </c>
      <c r="AA6" s="16">
        <v>1908</v>
      </c>
      <c r="AB6" t="s" s="8">
        <v>6</v>
      </c>
      <c r="AC6" s="16">
        <v>1908</v>
      </c>
      <c r="AD6" s="131"/>
      <c r="AE6" s="13"/>
      <c r="AF6" s="7"/>
    </row>
    <row r="7" ht="13.55" customHeight="1">
      <c r="A7" s="23"/>
      <c r="B7" t="s" s="8">
        <v>157</v>
      </c>
      <c r="C7" s="9"/>
      <c r="D7" s="9"/>
      <c r="E7" s="9"/>
      <c r="F7" t="s" s="8">
        <v>8</v>
      </c>
      <c r="G7" s="26">
        <v>1200</v>
      </c>
      <c r="H7" t="s" s="8">
        <v>8</v>
      </c>
      <c r="I7" s="27"/>
      <c r="J7" t="s" s="8">
        <v>8</v>
      </c>
      <c r="K7" s="135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6">
        <v>1100</v>
      </c>
      <c r="Z7" t="s" s="8">
        <v>8</v>
      </c>
      <c r="AA7" s="26">
        <v>1100</v>
      </c>
      <c r="AB7" t="s" s="8">
        <v>8</v>
      </c>
      <c r="AC7" s="26">
        <v>1100</v>
      </c>
      <c r="AD7" s="132" cm="1">
        <f t="array" ref="AD7">G7+I7+K7+M7+O7+Q7+S7+U7+W7+Y7+AA7+AC7</f>
        <v>4500</v>
      </c>
      <c r="AE7" s="50" cm="1">
        <f t="array" ref="AE7">1100*11</f>
        <v>12100</v>
      </c>
      <c r="AF7" s="51" cm="1">
        <f t="array" ref="AF7">AE7-AD7</f>
        <v>7600</v>
      </c>
    </row>
    <row r="8" ht="13.55" customHeight="1">
      <c r="A8" s="23"/>
      <c r="B8" s="9"/>
      <c r="C8" s="9"/>
      <c r="D8" s="9"/>
      <c r="E8" s="9"/>
      <c r="F8" t="s" s="8">
        <v>10</v>
      </c>
      <c r="G8" t="s" s="33">
        <v>154</v>
      </c>
      <c r="H8" t="s" s="8">
        <v>10</v>
      </c>
      <c r="I8" s="34"/>
      <c r="J8" t="s" s="8">
        <v>10</v>
      </c>
      <c r="K8" s="135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t="s" s="33">
        <v>155</v>
      </c>
      <c r="Z8" t="s" s="8">
        <v>10</v>
      </c>
      <c r="AA8" t="s" s="33">
        <v>155</v>
      </c>
      <c r="AB8" t="s" s="8">
        <v>10</v>
      </c>
      <c r="AC8" t="s" s="33">
        <v>155</v>
      </c>
      <c r="AD8" s="131"/>
      <c r="AE8" s="13"/>
      <c r="AF8" s="7"/>
    </row>
    <row r="9" ht="13.55" customHeight="1">
      <c r="A9" s="9"/>
      <c r="B9" s="9"/>
      <c r="C9" s="9"/>
      <c r="D9" s="9"/>
      <c r="E9" s="9"/>
      <c r="F9" s="9"/>
      <c r="G9" s="27"/>
      <c r="H9" s="9"/>
      <c r="I9" s="9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31"/>
      <c r="AE9" s="13"/>
      <c r="AF9" s="7"/>
    </row>
    <row r="10" ht="13.75" customHeight="1">
      <c r="A10" s="136">
        <v>2</v>
      </c>
      <c r="B10" t="s" s="130">
        <v>158</v>
      </c>
      <c r="C10" s="9"/>
      <c r="D10" s="9"/>
      <c r="E10" t="s" s="8">
        <v>5</v>
      </c>
      <c r="F10" t="s" s="8">
        <v>6</v>
      </c>
      <c r="G10" s="16">
        <v>1057</v>
      </c>
      <c r="H10" t="s" s="8">
        <v>6</v>
      </c>
      <c r="I10" s="16">
        <v>1100</v>
      </c>
      <c r="J10" t="s" s="8">
        <v>6</v>
      </c>
      <c r="K10" s="16">
        <v>1100</v>
      </c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6">
        <v>2468</v>
      </c>
      <c r="Z10" t="s" s="8">
        <v>6</v>
      </c>
      <c r="AA10" s="16">
        <v>2468</v>
      </c>
      <c r="AB10" t="s" s="8">
        <v>6</v>
      </c>
      <c r="AC10" s="16">
        <v>2468</v>
      </c>
      <c r="AD10" s="131"/>
      <c r="AE10" s="13"/>
      <c r="AF10" s="7"/>
    </row>
    <row r="11" ht="13.55" customHeight="1">
      <c r="A11" s="137"/>
      <c r="B11" s="9"/>
      <c r="C11" s="9"/>
      <c r="D11" s="42"/>
      <c r="E11" s="9"/>
      <c r="F11" t="s" s="8">
        <v>8</v>
      </c>
      <c r="G11" s="26">
        <v>900</v>
      </c>
      <c r="H11" t="s" s="8">
        <v>8</v>
      </c>
      <c r="I11" s="26">
        <v>900</v>
      </c>
      <c r="J11" t="s" s="8">
        <v>8</v>
      </c>
      <c r="K11" s="26">
        <v>900</v>
      </c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6">
        <v>850</v>
      </c>
      <c r="Z11" t="s" s="8">
        <v>8</v>
      </c>
      <c r="AA11" s="26">
        <v>850</v>
      </c>
      <c r="AB11" t="s" s="8">
        <v>8</v>
      </c>
      <c r="AC11" s="26">
        <v>850</v>
      </c>
      <c r="AD11" s="132" cm="1">
        <f t="array" ref="AD11">G11+I11+K11+M11+O11+Q11+S11+U11+W11+Y11+AA11+AC11</f>
        <v>5250</v>
      </c>
      <c r="AE11" s="50" cm="1">
        <f t="array" ref="AE11">850*12</f>
        <v>10200</v>
      </c>
      <c r="AF11" s="51" cm="1">
        <f t="array" ref="AF11">AE11-AD11</f>
        <v>4950</v>
      </c>
    </row>
    <row r="12" ht="13.55" customHeight="1">
      <c r="A12" s="137"/>
      <c r="B12" s="9"/>
      <c r="C12" t="s" s="8">
        <v>9</v>
      </c>
      <c r="D12" s="25">
        <v>1000</v>
      </c>
      <c r="E12" s="9"/>
      <c r="F12" t="s" s="8">
        <v>10</v>
      </c>
      <c r="G12" t="s" s="33">
        <v>159</v>
      </c>
      <c r="H12" t="s" s="8">
        <v>10</v>
      </c>
      <c r="I12" t="s" s="33">
        <v>23</v>
      </c>
      <c r="J12" t="s" s="8">
        <v>10</v>
      </c>
      <c r="K12" t="s" s="33">
        <v>23</v>
      </c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t="s" s="33">
        <v>160</v>
      </c>
      <c r="Z12" t="s" s="8">
        <v>10</v>
      </c>
      <c r="AA12" t="s" s="33">
        <v>160</v>
      </c>
      <c r="AB12" t="s" s="8">
        <v>10</v>
      </c>
      <c r="AC12" t="s" s="33">
        <v>160</v>
      </c>
      <c r="AD12" s="131"/>
      <c r="AE12" s="13"/>
      <c r="AF12" s="7"/>
    </row>
    <row r="13" ht="13.55" customHeight="1">
      <c r="A13" s="137"/>
      <c r="B13" t="s" s="8">
        <v>161</v>
      </c>
      <c r="C13" s="9"/>
      <c r="D13" s="9"/>
      <c r="E13" t="s" s="8">
        <v>14</v>
      </c>
      <c r="F13" t="s" s="8">
        <v>6</v>
      </c>
      <c r="G13" s="27"/>
      <c r="H13" t="s" s="8">
        <v>6</v>
      </c>
      <c r="I13" s="131"/>
      <c r="J13" t="s" s="8">
        <v>6</v>
      </c>
      <c r="K13" s="27"/>
      <c r="L13" t="s" s="8">
        <v>6</v>
      </c>
      <c r="M13" s="131"/>
      <c r="N13" t="s" s="8">
        <v>6</v>
      </c>
      <c r="O13" s="131"/>
      <c r="P13" t="s" s="8">
        <v>6</v>
      </c>
      <c r="Q13" s="131"/>
      <c r="R13" t="s" s="8">
        <v>6</v>
      </c>
      <c r="S13" s="9"/>
      <c r="T13" t="s" s="8">
        <v>6</v>
      </c>
      <c r="U13" s="9"/>
      <c r="V13" t="s" s="8">
        <v>6</v>
      </c>
      <c r="W13" s="9"/>
      <c r="X13" t="s" s="8">
        <v>6</v>
      </c>
      <c r="Y13" s="9"/>
      <c r="Z13" t="s" s="8">
        <v>6</v>
      </c>
      <c r="AA13" s="9"/>
      <c r="AB13" t="s" s="8">
        <v>6</v>
      </c>
      <c r="AC13" s="9"/>
      <c r="AD13" s="131"/>
      <c r="AE13" s="13"/>
      <c r="AF13" s="7"/>
    </row>
    <row r="14" ht="13.55" customHeight="1">
      <c r="A14" s="137"/>
      <c r="B14" t="s" s="8">
        <v>162</v>
      </c>
      <c r="C14" s="9"/>
      <c r="D14" s="9"/>
      <c r="E14" s="9"/>
      <c r="F14" t="s" s="8">
        <v>8</v>
      </c>
      <c r="G14" s="27"/>
      <c r="H14" t="s" s="8">
        <v>8</v>
      </c>
      <c r="I14" s="27"/>
      <c r="J14" t="s" s="8">
        <v>8</v>
      </c>
      <c r="K14" s="27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9"/>
      <c r="T14" t="s" s="8">
        <v>8</v>
      </c>
      <c r="U14" s="9"/>
      <c r="V14" t="s" s="8">
        <v>8</v>
      </c>
      <c r="W14" s="9"/>
      <c r="X14" t="s" s="8">
        <v>8</v>
      </c>
      <c r="Y14" s="9"/>
      <c r="Z14" t="s" s="8">
        <v>8</v>
      </c>
      <c r="AA14" s="9"/>
      <c r="AB14" t="s" s="8">
        <v>8</v>
      </c>
      <c r="AC14" s="9"/>
      <c r="AD14" s="132" cm="1">
        <f t="array" ref="AD14">G14+I14+K14+M14+O14+Q14+S14+U14+W14+Y14+AA14+AC14</f>
        <v>0</v>
      </c>
      <c r="AE14" s="13"/>
      <c r="AF14" s="7"/>
    </row>
    <row r="15" ht="13.55" customHeight="1">
      <c r="A15" s="137"/>
      <c r="B15" s="23"/>
      <c r="C15" s="9"/>
      <c r="D15" s="9"/>
      <c r="E15" s="9"/>
      <c r="F15" t="s" s="8">
        <v>10</v>
      </c>
      <c r="G15" s="27"/>
      <c r="H15" t="s" s="8">
        <v>10</v>
      </c>
      <c r="I15" s="34"/>
      <c r="J15" t="s" s="8">
        <v>10</v>
      </c>
      <c r="K15" s="27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9"/>
      <c r="T15" t="s" s="8">
        <v>10</v>
      </c>
      <c r="U15" s="9"/>
      <c r="V15" t="s" s="8">
        <v>10</v>
      </c>
      <c r="W15" s="9"/>
      <c r="X15" t="s" s="8">
        <v>10</v>
      </c>
      <c r="Y15" s="9"/>
      <c r="Z15" t="s" s="8">
        <v>10</v>
      </c>
      <c r="AA15" s="9"/>
      <c r="AB15" t="s" s="8">
        <v>10</v>
      </c>
      <c r="AC15" s="9"/>
      <c r="AD15" s="131"/>
      <c r="AE15" s="13"/>
      <c r="AF15" s="7"/>
    </row>
    <row r="16" ht="13.55" customHeight="1">
      <c r="A16" s="9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31"/>
      <c r="AE16" s="13"/>
      <c r="AF16" s="7"/>
    </row>
    <row r="17" ht="13.75" customHeight="1">
      <c r="A17" s="136">
        <v>3</v>
      </c>
      <c r="B17" t="s" s="130">
        <v>163</v>
      </c>
      <c r="C17" s="9"/>
      <c r="D17" s="9"/>
      <c r="E17" t="s" s="8">
        <v>5</v>
      </c>
      <c r="F17" t="s" s="8">
        <v>6</v>
      </c>
      <c r="G17" s="16">
        <v>1101</v>
      </c>
      <c r="H17" t="s" s="8">
        <v>6</v>
      </c>
      <c r="I17" s="16">
        <v>3175</v>
      </c>
      <c r="J17" t="s" s="8">
        <v>6</v>
      </c>
      <c r="K17" s="18"/>
      <c r="L17" t="s" s="8">
        <v>6</v>
      </c>
      <c r="M17" s="18"/>
      <c r="N17" t="s" s="8">
        <v>6</v>
      </c>
      <c r="O17" s="18"/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8">
        <v>6</v>
      </c>
      <c r="Y17" s="16">
        <v>2302</v>
      </c>
      <c r="Z17" t="s" s="8">
        <v>6</v>
      </c>
      <c r="AA17" s="16">
        <v>2497</v>
      </c>
      <c r="AB17" t="s" s="8">
        <v>6</v>
      </c>
      <c r="AC17" s="16">
        <v>3050</v>
      </c>
      <c r="AD17" s="131"/>
      <c r="AE17" s="13"/>
      <c r="AF17" s="7"/>
    </row>
    <row r="18" ht="13.55" customHeight="1">
      <c r="A18" s="137"/>
      <c r="B18" s="9"/>
      <c r="C18" s="42"/>
      <c r="D18" s="42"/>
      <c r="E18" s="9"/>
      <c r="F18" t="s" s="8">
        <v>8</v>
      </c>
      <c r="G18" s="26">
        <v>900</v>
      </c>
      <c r="H18" t="s" s="8">
        <v>8</v>
      </c>
      <c r="I18" s="26">
        <v>900</v>
      </c>
      <c r="J18" t="s" s="8">
        <v>8</v>
      </c>
      <c r="K18" s="27"/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6">
        <v>850</v>
      </c>
      <c r="Z18" t="s" s="8">
        <v>8</v>
      </c>
      <c r="AA18" s="26">
        <v>850</v>
      </c>
      <c r="AB18" t="s" s="8">
        <v>8</v>
      </c>
      <c r="AC18" s="26">
        <v>850</v>
      </c>
      <c r="AD18" s="132" cm="1">
        <f t="array" ref="AD18">G18+I18+K18+M18+O18+Q18+S18+U18+W18+Y18+AA18+AC18</f>
        <v>4350</v>
      </c>
      <c r="AE18" s="50" cm="1">
        <f t="array" ref="AE18">850*12</f>
        <v>10200</v>
      </c>
      <c r="AF18" s="51" cm="1">
        <f t="array" ref="AF18">AE18-AD18</f>
        <v>5850</v>
      </c>
    </row>
    <row r="19" ht="13.55" customHeight="1">
      <c r="A19" s="137"/>
      <c r="B19" s="9"/>
      <c r="C19" t="s" s="8">
        <v>9</v>
      </c>
      <c r="D19" s="25">
        <v>1000</v>
      </c>
      <c r="E19" s="9"/>
      <c r="F19" t="s" s="8">
        <v>10</v>
      </c>
      <c r="G19" t="s" s="33">
        <v>23</v>
      </c>
      <c r="H19" t="s" s="8">
        <v>10</v>
      </c>
      <c r="I19" t="s" s="33">
        <v>24</v>
      </c>
      <c r="J19" t="s" s="8">
        <v>10</v>
      </c>
      <c r="K19" s="34"/>
      <c r="L19" t="s" s="8">
        <v>10</v>
      </c>
      <c r="M19" s="34"/>
      <c r="N19" t="s" s="8">
        <v>10</v>
      </c>
      <c r="O19" s="34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t="s" s="33">
        <v>164</v>
      </c>
      <c r="Z19" t="s" s="8">
        <v>10</v>
      </c>
      <c r="AA19" t="s" s="33">
        <v>165</v>
      </c>
      <c r="AB19" t="s" s="8">
        <v>10</v>
      </c>
      <c r="AC19" t="s" s="33">
        <v>166</v>
      </c>
      <c r="AD19" s="131"/>
      <c r="AE19" s="13"/>
      <c r="AF19" s="7"/>
    </row>
    <row r="20" ht="13.75" customHeight="1">
      <c r="A20" s="137"/>
      <c r="B20" t="s" s="8">
        <v>167</v>
      </c>
      <c r="C20" s="9"/>
      <c r="D20" s="9"/>
      <c r="E20" t="s" s="8">
        <v>14</v>
      </c>
      <c r="F20" t="s" s="8">
        <v>6</v>
      </c>
      <c r="G20" s="16">
        <v>2103</v>
      </c>
      <c r="H20" t="s" s="8">
        <v>6</v>
      </c>
      <c r="I20" s="16">
        <v>2158</v>
      </c>
      <c r="J20" t="s" s="8">
        <v>6</v>
      </c>
      <c r="K20" s="135"/>
      <c r="L20" t="s" s="8">
        <v>6</v>
      </c>
      <c r="M20" s="18"/>
      <c r="N20" t="s" s="8">
        <v>6</v>
      </c>
      <c r="O20" s="18"/>
      <c r="P20" t="s" s="8">
        <v>6</v>
      </c>
      <c r="Q20" s="18"/>
      <c r="R20" t="s" s="8">
        <v>6</v>
      </c>
      <c r="S20" s="18"/>
      <c r="T20" t="s" s="8">
        <v>6</v>
      </c>
      <c r="U20" s="18"/>
      <c r="V20" t="s" s="8">
        <v>6</v>
      </c>
      <c r="W20" s="18"/>
      <c r="X20" t="s" s="8">
        <v>6</v>
      </c>
      <c r="Y20" s="16">
        <v>953</v>
      </c>
      <c r="Z20" t="s" s="8">
        <v>6</v>
      </c>
      <c r="AA20" s="16">
        <v>1760</v>
      </c>
      <c r="AB20" t="s" s="8">
        <v>6</v>
      </c>
      <c r="AC20" s="16">
        <v>1889</v>
      </c>
      <c r="AD20" s="131"/>
      <c r="AE20" s="13"/>
      <c r="AF20" s="7"/>
    </row>
    <row r="21" ht="13.55" customHeight="1">
      <c r="A21" s="137"/>
      <c r="B21" t="s" s="8">
        <v>168</v>
      </c>
      <c r="C21" s="9"/>
      <c r="D21" s="9"/>
      <c r="E21" s="9"/>
      <c r="F21" t="s" s="8">
        <v>8</v>
      </c>
      <c r="G21" s="26">
        <v>600</v>
      </c>
      <c r="H21" t="s" s="8">
        <v>8</v>
      </c>
      <c r="I21" s="26">
        <v>600</v>
      </c>
      <c r="J21" t="s" s="8">
        <v>8</v>
      </c>
      <c r="K21" s="135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8">
        <v>8</v>
      </c>
      <c r="Y21" s="26">
        <v>500</v>
      </c>
      <c r="Z21" t="s" s="8">
        <v>8</v>
      </c>
      <c r="AA21" s="26">
        <v>500</v>
      </c>
      <c r="AB21" t="s" s="8">
        <v>8</v>
      </c>
      <c r="AC21" s="26">
        <v>500</v>
      </c>
      <c r="AD21" s="132" cm="1">
        <f t="array" ref="AD21">G21+I21+K21+M21+O21+Q21+S21+U21+W21+Y21+AA21+AC21</f>
        <v>2700</v>
      </c>
      <c r="AE21" s="50" cm="1">
        <f t="array" ref="AE21">500*11</f>
        <v>5500</v>
      </c>
      <c r="AF21" s="51" cm="1">
        <f t="array" ref="AF21">AE21-AD21</f>
        <v>2800</v>
      </c>
    </row>
    <row r="22" ht="13.55" customHeight="1">
      <c r="A22" s="137"/>
      <c r="B22" s="23"/>
      <c r="C22" s="9"/>
      <c r="D22" s="9"/>
      <c r="E22" s="9"/>
      <c r="F22" t="s" s="8">
        <v>10</v>
      </c>
      <c r="G22" t="s" s="33">
        <v>74</v>
      </c>
      <c r="H22" t="s" s="8">
        <v>10</v>
      </c>
      <c r="I22" t="s" s="33">
        <v>24</v>
      </c>
      <c r="J22" t="s" s="8">
        <v>10</v>
      </c>
      <c r="K22" s="13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8">
        <v>10</v>
      </c>
      <c r="Y22" t="s" s="33">
        <v>164</v>
      </c>
      <c r="Z22" t="s" s="8">
        <v>10</v>
      </c>
      <c r="AA22" t="s" s="33">
        <v>165</v>
      </c>
      <c r="AB22" t="s" s="8">
        <v>10</v>
      </c>
      <c r="AC22" t="s" s="33">
        <v>166</v>
      </c>
      <c r="AD22" s="131"/>
      <c r="AE22" s="13"/>
      <c r="AF22" s="7"/>
    </row>
    <row r="23" ht="13.55" customHeight="1">
      <c r="A23" s="9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31"/>
      <c r="AE23" s="13"/>
      <c r="AF23" s="7"/>
    </row>
    <row r="24" ht="13.75" customHeight="1">
      <c r="A24" s="136">
        <v>4</v>
      </c>
      <c r="B24" t="s" s="130">
        <v>169</v>
      </c>
      <c r="C24" s="9"/>
      <c r="D24" s="9"/>
      <c r="E24" t="s" s="8">
        <v>5</v>
      </c>
      <c r="F24" t="s" s="8">
        <v>6</v>
      </c>
      <c r="G24" s="16">
        <v>1202</v>
      </c>
      <c r="H24" t="s" s="8">
        <v>6</v>
      </c>
      <c r="I24" s="16">
        <v>1202</v>
      </c>
      <c r="J24" t="s" s="8">
        <v>6</v>
      </c>
      <c r="K24" s="16">
        <v>1202</v>
      </c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8">
        <v>6</v>
      </c>
      <c r="Y24" s="16">
        <v>2432</v>
      </c>
      <c r="Z24" t="s" s="8">
        <v>6</v>
      </c>
      <c r="AA24" s="16">
        <v>2432</v>
      </c>
      <c r="AB24" t="s" s="8">
        <v>6</v>
      </c>
      <c r="AC24" s="16">
        <v>2432</v>
      </c>
      <c r="AD24" s="131"/>
      <c r="AE24" s="13"/>
      <c r="AF24" s="7"/>
    </row>
    <row r="25" ht="13.55" customHeight="1">
      <c r="A25" s="137"/>
      <c r="B25" s="9"/>
      <c r="C25" s="42"/>
      <c r="D25" s="42"/>
      <c r="E25" s="9"/>
      <c r="F25" t="s" s="8">
        <v>8</v>
      </c>
      <c r="G25" s="26">
        <v>900</v>
      </c>
      <c r="H25" t="s" s="8">
        <v>8</v>
      </c>
      <c r="I25" s="26">
        <v>900</v>
      </c>
      <c r="J25" t="s" s="8">
        <v>8</v>
      </c>
      <c r="K25" s="26">
        <v>900</v>
      </c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6">
        <v>850</v>
      </c>
      <c r="Z25" t="s" s="8">
        <v>8</v>
      </c>
      <c r="AA25" s="26">
        <v>850</v>
      </c>
      <c r="AB25" t="s" s="8">
        <v>8</v>
      </c>
      <c r="AC25" s="26" cm="1">
        <f t="array" ref="AC25">700+150</f>
        <v>850</v>
      </c>
      <c r="AD25" s="132" cm="1">
        <f t="array" ref="AD25">G25+I25+K25+M25+O25+Q25+S25+U25+W25+Y25+AA25+AC25</f>
        <v>5250</v>
      </c>
      <c r="AE25" s="50" cm="1">
        <f t="array" ref="AE25">850*12</f>
        <v>10200</v>
      </c>
      <c r="AF25" s="51" cm="1">
        <f t="array" ref="AF25">AE25-AD25</f>
        <v>4950</v>
      </c>
    </row>
    <row r="26" ht="13.55" customHeight="1">
      <c r="A26" s="137"/>
      <c r="B26" s="9"/>
      <c r="C26" t="s" s="8">
        <v>9</v>
      </c>
      <c r="D26" s="25">
        <v>1000</v>
      </c>
      <c r="E26" s="9"/>
      <c r="F26" t="s" s="8">
        <v>10</v>
      </c>
      <c r="G26" t="s" s="33">
        <v>74</v>
      </c>
      <c r="H26" t="s" s="8">
        <v>10</v>
      </c>
      <c r="I26" t="s" s="33">
        <v>74</v>
      </c>
      <c r="J26" t="s" s="8">
        <v>10</v>
      </c>
      <c r="K26" t="s" s="33">
        <v>74</v>
      </c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t="s" s="33">
        <v>170</v>
      </c>
      <c r="Z26" t="s" s="8">
        <v>10</v>
      </c>
      <c r="AA26" t="s" s="33">
        <v>170</v>
      </c>
      <c r="AB26" t="s" s="8">
        <v>10</v>
      </c>
      <c r="AC26" t="s" s="33">
        <v>170</v>
      </c>
      <c r="AD26" s="131"/>
      <c r="AE26" s="13"/>
      <c r="AF26" s="7"/>
    </row>
    <row r="27" ht="13.75" customHeight="1">
      <c r="A27" s="137"/>
      <c r="B27" t="s" s="8">
        <v>171</v>
      </c>
      <c r="C27" s="9"/>
      <c r="D27" s="9"/>
      <c r="E27" t="s" s="8">
        <v>14</v>
      </c>
      <c r="F27" t="s" s="8">
        <v>6</v>
      </c>
      <c r="G27" s="16">
        <v>2111</v>
      </c>
      <c r="H27" t="s" s="8">
        <v>6</v>
      </c>
      <c r="I27" s="16">
        <v>2111</v>
      </c>
      <c r="J27" t="s" s="8">
        <v>6</v>
      </c>
      <c r="K27" s="135"/>
      <c r="L27" t="s" s="8">
        <v>6</v>
      </c>
      <c r="M27" s="18"/>
      <c r="N27" t="s" s="8">
        <v>6</v>
      </c>
      <c r="O27" s="18"/>
      <c r="P27" t="s" s="8">
        <v>6</v>
      </c>
      <c r="Q27" s="18"/>
      <c r="R27" t="s" s="8">
        <v>6</v>
      </c>
      <c r="S27" s="18"/>
      <c r="T27" t="s" s="8">
        <v>6</v>
      </c>
      <c r="U27" s="18"/>
      <c r="V27" t="s" s="8">
        <v>6</v>
      </c>
      <c r="W27" s="18"/>
      <c r="X27" t="s" s="8">
        <v>6</v>
      </c>
      <c r="Y27" s="16">
        <v>1709</v>
      </c>
      <c r="Z27" t="s" s="8">
        <v>6</v>
      </c>
      <c r="AA27" s="16">
        <v>1709</v>
      </c>
      <c r="AB27" t="s" s="8">
        <v>6</v>
      </c>
      <c r="AC27" s="16">
        <v>1709</v>
      </c>
      <c r="AD27" s="131"/>
      <c r="AE27" s="13"/>
      <c r="AF27" s="7"/>
    </row>
    <row r="28" ht="13.55" customHeight="1">
      <c r="A28" s="137"/>
      <c r="B28" t="s" s="8">
        <v>172</v>
      </c>
      <c r="C28" s="9"/>
      <c r="D28" s="9"/>
      <c r="E28" s="9"/>
      <c r="F28" t="s" s="8">
        <v>8</v>
      </c>
      <c r="G28" s="26">
        <v>1200</v>
      </c>
      <c r="H28" t="s" s="8">
        <v>8</v>
      </c>
      <c r="I28" s="26">
        <v>1200</v>
      </c>
      <c r="J28" t="s" s="8">
        <v>8</v>
      </c>
      <c r="K28" s="135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8">
        <v>8</v>
      </c>
      <c r="Y28" s="26">
        <v>1100</v>
      </c>
      <c r="Z28" t="s" s="8">
        <v>8</v>
      </c>
      <c r="AA28" s="26">
        <v>1100</v>
      </c>
      <c r="AB28" t="s" s="8">
        <v>8</v>
      </c>
      <c r="AC28" s="26">
        <v>1100</v>
      </c>
      <c r="AD28" s="132" cm="1">
        <f t="array" ref="AD28">G28+I28+K28+M28+O28+Q28+S28+U28+W28+Y28+AA28+AC28</f>
        <v>5700</v>
      </c>
      <c r="AE28" s="50" cm="1">
        <f t="array" ref="AE28">1100*11</f>
        <v>12100</v>
      </c>
      <c r="AF28" s="51" cm="1">
        <f t="array" ref="AF28">AE28-AD28</f>
        <v>6400</v>
      </c>
    </row>
    <row r="29" ht="13.55" customHeight="1">
      <c r="A29" s="137"/>
      <c r="B29" s="23"/>
      <c r="C29" s="9"/>
      <c r="D29" s="9"/>
      <c r="E29" s="9"/>
      <c r="F29" t="s" s="8">
        <v>10</v>
      </c>
      <c r="G29" t="s" s="33">
        <v>74</v>
      </c>
      <c r="H29" t="s" s="8">
        <v>10</v>
      </c>
      <c r="I29" t="s" s="33">
        <v>74</v>
      </c>
      <c r="J29" t="s" s="8">
        <v>10</v>
      </c>
      <c r="K29" s="135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8">
        <v>10</v>
      </c>
      <c r="Y29" t="s" s="33">
        <v>170</v>
      </c>
      <c r="Z29" t="s" s="8">
        <v>10</v>
      </c>
      <c r="AA29" t="s" s="33">
        <v>170</v>
      </c>
      <c r="AB29" t="s" s="8">
        <v>10</v>
      </c>
      <c r="AC29" t="s" s="33">
        <v>170</v>
      </c>
      <c r="AD29" s="131"/>
      <c r="AE29" s="13"/>
      <c r="AF29" s="7"/>
    </row>
    <row r="30" ht="13.55" customHeight="1">
      <c r="A30" s="9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31"/>
      <c r="AE30" s="13"/>
      <c r="AF30" s="7"/>
    </row>
    <row r="31" ht="13.75" customHeight="1">
      <c r="A31" s="136">
        <v>5</v>
      </c>
      <c r="B31" t="s" s="130">
        <v>173</v>
      </c>
      <c r="C31" s="9"/>
      <c r="D31" s="9"/>
      <c r="E31" t="s" s="8">
        <v>5</v>
      </c>
      <c r="F31" t="s" s="8">
        <v>6</v>
      </c>
      <c r="G31" s="16">
        <v>1119</v>
      </c>
      <c r="H31" t="s" s="8">
        <v>6</v>
      </c>
      <c r="I31" s="18"/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6">
        <v>2438</v>
      </c>
      <c r="Z31" t="s" s="8">
        <v>6</v>
      </c>
      <c r="AA31" s="131"/>
      <c r="AB31" t="s" s="8">
        <v>6</v>
      </c>
      <c r="AC31" s="131"/>
      <c r="AD31" s="131"/>
      <c r="AE31" s="13"/>
      <c r="AF31" s="7"/>
    </row>
    <row r="32" ht="13.55" customHeight="1">
      <c r="A32" s="137"/>
      <c r="B32" s="138"/>
      <c r="C32" s="9"/>
      <c r="D32" s="42"/>
      <c r="E32" s="9"/>
      <c r="F32" t="s" s="8">
        <v>8</v>
      </c>
      <c r="G32" s="26">
        <v>900</v>
      </c>
      <c r="H32" t="s" s="8">
        <v>8</v>
      </c>
      <c r="I32" s="27"/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6">
        <v>850</v>
      </c>
      <c r="Z32" t="s" s="8">
        <v>8</v>
      </c>
      <c r="AA32" s="27"/>
      <c r="AB32" t="s" s="8">
        <v>8</v>
      </c>
      <c r="AC32" s="27"/>
      <c r="AD32" s="132" cm="1">
        <f t="array" ref="AD32">G32+I32+K32+M32+O32+Q32+S32+U32+W32+Y32+AA32+AC32</f>
        <v>1750</v>
      </c>
      <c r="AE32" s="50" cm="1">
        <f t="array" ref="AE32">850*12</f>
        <v>10200</v>
      </c>
      <c r="AF32" s="51" cm="1">
        <f t="array" ref="AF32">AE32-AD32</f>
        <v>8450</v>
      </c>
    </row>
    <row r="33" ht="13.55" customHeight="1">
      <c r="A33" s="137"/>
      <c r="B33" s="9"/>
      <c r="C33" t="s" s="8">
        <v>9</v>
      </c>
      <c r="D33" s="25">
        <v>1000</v>
      </c>
      <c r="E33" s="139"/>
      <c r="F33" t="s" s="8">
        <v>10</v>
      </c>
      <c r="G33" t="s" s="33">
        <v>93</v>
      </c>
      <c r="H33" t="s" s="8">
        <v>10</v>
      </c>
      <c r="I33" s="34"/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t="s" s="33">
        <v>170</v>
      </c>
      <c r="Z33" t="s" s="8">
        <v>10</v>
      </c>
      <c r="AA33" s="34"/>
      <c r="AB33" t="s" s="8">
        <v>10</v>
      </c>
      <c r="AC33" s="34"/>
      <c r="AD33" s="131"/>
      <c r="AE33" s="13"/>
      <c r="AF33" s="7"/>
    </row>
    <row r="34" ht="13.55" customHeight="1">
      <c r="A34" s="137"/>
      <c r="B34" t="s" s="8">
        <v>174</v>
      </c>
      <c r="C34" s="9"/>
      <c r="D34" s="9"/>
      <c r="E34" t="s" s="8">
        <v>14</v>
      </c>
      <c r="F34" t="s" s="8">
        <v>6</v>
      </c>
      <c r="G34" s="27"/>
      <c r="H34" t="s" s="8">
        <v>6</v>
      </c>
      <c r="I34" s="27"/>
      <c r="J34" t="s" s="8">
        <v>6</v>
      </c>
      <c r="K34" s="27"/>
      <c r="L34" t="s" s="8">
        <v>6</v>
      </c>
      <c r="M34" s="9"/>
      <c r="N34" t="s" s="8">
        <v>6</v>
      </c>
      <c r="O34" s="9"/>
      <c r="P34" t="s" s="8">
        <v>6</v>
      </c>
      <c r="Q34" s="9"/>
      <c r="R34" t="s" s="8">
        <v>6</v>
      </c>
      <c r="S34" s="9"/>
      <c r="T34" t="s" s="8">
        <v>6</v>
      </c>
      <c r="U34" s="9"/>
      <c r="V34" t="s" s="8">
        <v>6</v>
      </c>
      <c r="W34" s="9"/>
      <c r="X34" t="s" s="8">
        <v>6</v>
      </c>
      <c r="Y34" s="9"/>
      <c r="Z34" t="s" s="8">
        <v>6</v>
      </c>
      <c r="AA34" s="9"/>
      <c r="AB34" t="s" s="8">
        <v>6</v>
      </c>
      <c r="AC34" s="9"/>
      <c r="AD34" s="131"/>
      <c r="AE34" s="13"/>
      <c r="AF34" s="7"/>
    </row>
    <row r="35" ht="13.55" customHeight="1">
      <c r="A35" s="137"/>
      <c r="B35" t="s" s="8">
        <v>175</v>
      </c>
      <c r="C35" s="9"/>
      <c r="D35" s="9"/>
      <c r="E35" s="9"/>
      <c r="F35" t="s" s="8">
        <v>8</v>
      </c>
      <c r="G35" s="27"/>
      <c r="H35" t="s" s="8">
        <v>8</v>
      </c>
      <c r="I35" s="27"/>
      <c r="J35" t="s" s="8">
        <v>8</v>
      </c>
      <c r="K35" s="27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9"/>
      <c r="T35" t="s" s="8">
        <v>8</v>
      </c>
      <c r="U35" s="9"/>
      <c r="V35" t="s" s="8">
        <v>8</v>
      </c>
      <c r="W35" s="9"/>
      <c r="X35" t="s" s="8">
        <v>8</v>
      </c>
      <c r="Y35" s="9"/>
      <c r="Z35" t="s" s="8">
        <v>8</v>
      </c>
      <c r="AA35" s="9"/>
      <c r="AB35" t="s" s="8">
        <v>8</v>
      </c>
      <c r="AC35" s="9"/>
      <c r="AD35" s="132" cm="1">
        <f t="array" ref="AD35">G35+I35+K35+M35+O35+Q35+S35+U35+W35+Y35+AA35+AC35</f>
        <v>0</v>
      </c>
      <c r="AE35" s="13"/>
      <c r="AF35" s="7"/>
    </row>
    <row r="36" ht="13.55" customHeight="1">
      <c r="A36" s="137"/>
      <c r="B36" s="23"/>
      <c r="C36" s="9"/>
      <c r="D36" s="9"/>
      <c r="E36" s="9"/>
      <c r="F36" t="s" s="8">
        <v>10</v>
      </c>
      <c r="G36" s="27"/>
      <c r="H36" t="s" s="8">
        <v>10</v>
      </c>
      <c r="I36" s="27"/>
      <c r="J36" t="s" s="8">
        <v>10</v>
      </c>
      <c r="K36" s="27"/>
      <c r="L36" t="s" s="8">
        <v>10</v>
      </c>
      <c r="M36" s="9"/>
      <c r="N36" t="s" s="8">
        <v>10</v>
      </c>
      <c r="O36" s="9"/>
      <c r="P36" t="s" s="8">
        <v>10</v>
      </c>
      <c r="Q36" s="9"/>
      <c r="R36" t="s" s="8">
        <v>10</v>
      </c>
      <c r="S36" s="9"/>
      <c r="T36" t="s" s="8">
        <v>10</v>
      </c>
      <c r="U36" s="9"/>
      <c r="V36" t="s" s="8">
        <v>10</v>
      </c>
      <c r="W36" s="9"/>
      <c r="X36" t="s" s="8">
        <v>10</v>
      </c>
      <c r="Y36" s="9"/>
      <c r="Z36" t="s" s="8">
        <v>10</v>
      </c>
      <c r="AA36" s="9"/>
      <c r="AB36" t="s" s="8">
        <v>10</v>
      </c>
      <c r="AC36" s="9"/>
      <c r="AD36" s="131"/>
      <c r="AE36" s="13"/>
      <c r="AF36" s="7"/>
    </row>
    <row r="37" ht="13.55" customHeight="1">
      <c r="A37" s="9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31"/>
      <c r="AE37" s="13"/>
      <c r="AF37" s="7"/>
    </row>
    <row r="38" ht="13.75" customHeight="1">
      <c r="A38" s="136">
        <v>6</v>
      </c>
      <c r="B38" t="s" s="130">
        <v>176</v>
      </c>
      <c r="C38" s="9"/>
      <c r="D38" s="9"/>
      <c r="E38" t="s" s="8">
        <v>5</v>
      </c>
      <c r="F38" t="s" s="8">
        <v>6</v>
      </c>
      <c r="G38" s="16">
        <v>1164</v>
      </c>
      <c r="H38" t="s" s="8">
        <v>6</v>
      </c>
      <c r="I38" s="16">
        <v>3195</v>
      </c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6">
        <v>2466</v>
      </c>
      <c r="Z38" t="s" s="8">
        <v>6</v>
      </c>
      <c r="AA38" s="16">
        <v>2466</v>
      </c>
      <c r="AB38" t="s" s="8">
        <v>6</v>
      </c>
      <c r="AC38" s="16">
        <v>3005</v>
      </c>
      <c r="AD38" s="131"/>
      <c r="AE38" s="13"/>
      <c r="AF38" s="7"/>
    </row>
    <row r="39" ht="13.55" customHeight="1">
      <c r="A39" s="137"/>
      <c r="B39" s="9"/>
      <c r="C39" s="42"/>
      <c r="D39" s="42"/>
      <c r="E39" s="9"/>
      <c r="F39" t="s" s="8">
        <v>8</v>
      </c>
      <c r="G39" s="26">
        <v>900</v>
      </c>
      <c r="H39" t="s" s="8">
        <v>8</v>
      </c>
      <c r="I39" s="26">
        <v>900</v>
      </c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6">
        <v>850</v>
      </c>
      <c r="Z39" t="s" s="8">
        <v>8</v>
      </c>
      <c r="AA39" s="26">
        <v>850</v>
      </c>
      <c r="AB39" t="s" s="8">
        <v>8</v>
      </c>
      <c r="AC39" s="26">
        <v>850</v>
      </c>
      <c r="AD39" s="132" cm="1">
        <f t="array" ref="AD39">G39+I39+K39+M39+O39+Q39+S39+U39+W39+Y39+AA39+AC39</f>
        <v>4350</v>
      </c>
      <c r="AE39" s="50" cm="1">
        <f t="array" ref="AE39">850*12</f>
        <v>10200</v>
      </c>
      <c r="AF39" s="51" cm="1">
        <f t="array" ref="AF39">AE39-AD39</f>
        <v>5850</v>
      </c>
    </row>
    <row r="40" ht="13.55" customHeight="1">
      <c r="A40" s="137"/>
      <c r="B40" s="9"/>
      <c r="C40" t="s" s="8">
        <v>9</v>
      </c>
      <c r="D40" s="25">
        <v>1000</v>
      </c>
      <c r="E40" s="9"/>
      <c r="F40" t="s" s="8">
        <v>10</v>
      </c>
      <c r="G40" t="s" s="33">
        <v>70</v>
      </c>
      <c r="H40" t="s" s="8">
        <v>10</v>
      </c>
      <c r="I40" t="s" s="33">
        <v>24</v>
      </c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t="s" s="33">
        <v>160</v>
      </c>
      <c r="Z40" t="s" s="8">
        <v>10</v>
      </c>
      <c r="AA40" t="s" s="33">
        <v>160</v>
      </c>
      <c r="AB40" t="s" s="8">
        <v>10</v>
      </c>
      <c r="AC40" t="s" s="33">
        <v>177</v>
      </c>
      <c r="AD40" s="131"/>
      <c r="AE40" s="13"/>
      <c r="AF40" s="7"/>
    </row>
    <row r="41" ht="13.75" customHeight="1">
      <c r="A41" s="137"/>
      <c r="B41" t="s" s="8">
        <v>178</v>
      </c>
      <c r="C41" s="9"/>
      <c r="D41" s="9"/>
      <c r="E41" t="s" s="8">
        <v>14</v>
      </c>
      <c r="F41" t="s" s="8">
        <v>6</v>
      </c>
      <c r="G41" s="16">
        <v>2080</v>
      </c>
      <c r="H41" t="s" s="8">
        <v>6</v>
      </c>
      <c r="I41" s="16">
        <v>2170</v>
      </c>
      <c r="J41" t="s" s="8">
        <v>6</v>
      </c>
      <c r="K41" s="140"/>
      <c r="L41" t="s" s="8">
        <v>6</v>
      </c>
      <c r="M41" s="141"/>
      <c r="N41" t="s" s="8">
        <v>6</v>
      </c>
      <c r="O41" s="18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8">
        <v>6</v>
      </c>
      <c r="Y41" s="131"/>
      <c r="Z41" t="s" s="8">
        <v>6</v>
      </c>
      <c r="AA41" s="131"/>
      <c r="AB41" t="s" s="8">
        <v>6</v>
      </c>
      <c r="AC41" s="16">
        <v>1850</v>
      </c>
      <c r="AD41" s="131"/>
      <c r="AE41" s="13"/>
      <c r="AF41" s="7"/>
    </row>
    <row r="42" ht="13.55" customHeight="1">
      <c r="A42" s="137"/>
      <c r="B42" t="s" s="8">
        <v>179</v>
      </c>
      <c r="C42" s="9"/>
      <c r="D42" s="9"/>
      <c r="E42" s="9"/>
      <c r="F42" t="s" s="8">
        <v>8</v>
      </c>
      <c r="G42" s="26">
        <v>600</v>
      </c>
      <c r="H42" t="s" s="8">
        <v>8</v>
      </c>
      <c r="I42" s="26">
        <v>600</v>
      </c>
      <c r="J42" t="s" s="8">
        <v>8</v>
      </c>
      <c r="K42" s="140"/>
      <c r="L42" t="s" s="8">
        <v>8</v>
      </c>
      <c r="M42" s="142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8">
        <v>8</v>
      </c>
      <c r="AA42" s="27"/>
      <c r="AB42" t="s" s="8">
        <v>8</v>
      </c>
      <c r="AC42" s="26">
        <v>500</v>
      </c>
      <c r="AD42" s="131" cm="1">
        <f t="array" ref="AD42">G42+I42+K42+M42+O42+Q42+S42+U42+W42+Y42+AA42+AC42</f>
      </c>
      <c r="AE42" s="50" cm="1">
        <f t="array" ref="AE42">500*10</f>
        <v>5000</v>
      </c>
      <c r="AF42" s="7" cm="1">
        <f t="array" ref="AF42">AE42-AD42</f>
      </c>
    </row>
    <row r="43" ht="13.55" customHeight="1">
      <c r="A43" s="137"/>
      <c r="B43" s="23"/>
      <c r="C43" s="9"/>
      <c r="D43" s="9"/>
      <c r="E43" s="9"/>
      <c r="F43" t="s" s="8">
        <v>10</v>
      </c>
      <c r="G43" t="s" s="33">
        <v>70</v>
      </c>
      <c r="H43" t="s" s="8">
        <v>10</v>
      </c>
      <c r="I43" t="s" s="33">
        <v>24</v>
      </c>
      <c r="J43" t="s" s="8">
        <v>10</v>
      </c>
      <c r="K43" s="140"/>
      <c r="L43" t="s" s="8">
        <v>10</v>
      </c>
      <c r="M43" s="143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8">
        <v>10</v>
      </c>
      <c r="AA43" s="34"/>
      <c r="AB43" t="s" s="8">
        <v>10</v>
      </c>
      <c r="AC43" t="s" s="33">
        <v>177</v>
      </c>
      <c r="AD43" s="131"/>
      <c r="AE43" s="13"/>
      <c r="AF43" s="7"/>
    </row>
    <row r="44" ht="13.55" customHeight="1">
      <c r="A44" s="9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31"/>
      <c r="AE44" s="13"/>
      <c r="AF44" s="7"/>
    </row>
    <row r="45" ht="13.75" customHeight="1">
      <c r="A45" s="136">
        <v>7</v>
      </c>
      <c r="B45" t="s" s="130">
        <v>180</v>
      </c>
      <c r="C45" s="9"/>
      <c r="D45" s="9"/>
      <c r="E45" t="s" s="8">
        <v>5</v>
      </c>
      <c r="F45" t="s" s="8">
        <v>6</v>
      </c>
      <c r="G45" s="16">
        <v>1126</v>
      </c>
      <c r="H45" t="s" s="8">
        <v>6</v>
      </c>
      <c r="I45" s="16">
        <v>3185</v>
      </c>
      <c r="J45" t="s" s="8">
        <v>6</v>
      </c>
      <c r="K45" s="16">
        <v>3185</v>
      </c>
      <c r="L45" t="s" s="8">
        <v>6</v>
      </c>
      <c r="M45" s="16">
        <v>3185</v>
      </c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6">
        <v>2307</v>
      </c>
      <c r="Z45" t="s" s="8">
        <v>6</v>
      </c>
      <c r="AA45" s="16">
        <v>2914</v>
      </c>
      <c r="AB45" t="s" s="8">
        <v>6</v>
      </c>
      <c r="AC45" s="16">
        <v>2914</v>
      </c>
      <c r="AD45" s="131"/>
      <c r="AE45" s="13"/>
      <c r="AF45" s="7"/>
    </row>
    <row r="46" ht="13.55" customHeight="1">
      <c r="A46" s="137"/>
      <c r="B46" s="9"/>
      <c r="C46" s="42"/>
      <c r="D46" s="42"/>
      <c r="E46" s="9"/>
      <c r="F46" t="s" s="8">
        <v>8</v>
      </c>
      <c r="G46" s="26">
        <v>900</v>
      </c>
      <c r="H46" t="s" s="8">
        <v>8</v>
      </c>
      <c r="I46" s="26">
        <v>900</v>
      </c>
      <c r="J46" t="s" s="8">
        <v>8</v>
      </c>
      <c r="K46" s="26">
        <v>900</v>
      </c>
      <c r="L46" t="s" s="8">
        <v>8</v>
      </c>
      <c r="M46" s="26">
        <v>900</v>
      </c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6">
        <v>850</v>
      </c>
      <c r="Z46" t="s" s="8">
        <v>8</v>
      </c>
      <c r="AA46" s="26">
        <v>850</v>
      </c>
      <c r="AB46" t="s" s="8">
        <v>8</v>
      </c>
      <c r="AC46" s="26">
        <v>850</v>
      </c>
      <c r="AD46" s="132" cm="1">
        <f t="array" ref="AD46">G46+I46+K46+M46+O46+Q46+S46+U46+W46+Y46+AA46+AC46</f>
        <v>6150</v>
      </c>
      <c r="AE46" s="50" cm="1">
        <f t="array" ref="AE46">850*12</f>
        <v>10200</v>
      </c>
      <c r="AF46" s="51" cm="1">
        <f t="array" ref="AF46">AE46-AD46</f>
        <v>4050</v>
      </c>
    </row>
    <row r="47" ht="13.55" customHeight="1">
      <c r="A47" s="137"/>
      <c r="B47" s="9"/>
      <c r="C47" t="s" s="8">
        <v>9</v>
      </c>
      <c r="D47" s="25">
        <v>1000</v>
      </c>
      <c r="E47" s="9"/>
      <c r="F47" t="s" s="8">
        <v>10</v>
      </c>
      <c r="G47" t="s" s="33">
        <v>93</v>
      </c>
      <c r="H47" t="s" s="8">
        <v>10</v>
      </c>
      <c r="I47" t="s" s="33">
        <v>24</v>
      </c>
      <c r="J47" t="s" s="8">
        <v>10</v>
      </c>
      <c r="K47" t="s" s="33">
        <v>24</v>
      </c>
      <c r="L47" t="s" s="8">
        <v>10</v>
      </c>
      <c r="M47" t="s" s="33">
        <v>24</v>
      </c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t="s" s="33">
        <v>181</v>
      </c>
      <c r="Z47" t="s" s="8">
        <v>10</v>
      </c>
      <c r="AA47" t="s" s="33">
        <v>182</v>
      </c>
      <c r="AB47" t="s" s="8">
        <v>10</v>
      </c>
      <c r="AC47" t="s" s="33">
        <v>182</v>
      </c>
      <c r="AD47" s="131"/>
      <c r="AE47" s="13"/>
      <c r="AF47" s="7"/>
    </row>
    <row r="48" ht="13.75" customHeight="1">
      <c r="A48" s="137"/>
      <c r="B48" t="s" s="8">
        <v>183</v>
      </c>
      <c r="C48" s="9"/>
      <c r="D48" s="9"/>
      <c r="E48" t="s" s="8">
        <v>14</v>
      </c>
      <c r="F48" t="s" s="8">
        <v>6</v>
      </c>
      <c r="G48" s="16">
        <v>2049</v>
      </c>
      <c r="H48" t="s" s="8">
        <v>6</v>
      </c>
      <c r="I48" s="16">
        <v>2165</v>
      </c>
      <c r="J48" t="s" s="8">
        <v>6</v>
      </c>
      <c r="K48" s="131"/>
      <c r="L48" t="s" s="8">
        <v>6</v>
      </c>
      <c r="M48" s="16">
        <v>2165</v>
      </c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8">
        <v>6</v>
      </c>
      <c r="Y48" s="16">
        <v>957</v>
      </c>
      <c r="Z48" t="s" s="8">
        <v>6</v>
      </c>
      <c r="AA48" s="16">
        <v>1770</v>
      </c>
      <c r="AB48" t="s" s="8">
        <v>6</v>
      </c>
      <c r="AC48" s="16">
        <v>1770</v>
      </c>
      <c r="AD48" s="131"/>
      <c r="AE48" s="13"/>
      <c r="AF48" s="7"/>
    </row>
    <row r="49" ht="13.55" customHeight="1">
      <c r="A49" s="137"/>
      <c r="B49" t="s" s="8">
        <v>184</v>
      </c>
      <c r="C49" s="9"/>
      <c r="D49" s="9"/>
      <c r="E49" s="9"/>
      <c r="F49" t="s" s="8">
        <v>8</v>
      </c>
      <c r="G49" s="26">
        <v>600</v>
      </c>
      <c r="H49" t="s" s="8">
        <v>8</v>
      </c>
      <c r="I49" s="26">
        <v>600</v>
      </c>
      <c r="J49" t="s" s="8">
        <v>8</v>
      </c>
      <c r="K49" s="27"/>
      <c r="L49" t="s" s="8">
        <v>8</v>
      </c>
      <c r="M49" s="26">
        <v>600</v>
      </c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6">
        <v>500</v>
      </c>
      <c r="Z49" t="s" s="8">
        <v>8</v>
      </c>
      <c r="AA49" s="26">
        <v>500</v>
      </c>
      <c r="AB49" t="s" s="8">
        <v>8</v>
      </c>
      <c r="AC49" s="26">
        <v>500</v>
      </c>
      <c r="AD49" s="132" cm="1">
        <f t="array" ref="AD49">G49+I49+K49+M49+O49+Q49+S49+U49+W49+Y49+AA49+AC49</f>
        <v>3300</v>
      </c>
      <c r="AE49" s="50" cm="1">
        <f t="array" ref="AE49">500*11</f>
        <v>5500</v>
      </c>
      <c r="AF49" s="51" cm="1">
        <f t="array" ref="AF49">AE49-AD49</f>
        <v>2200</v>
      </c>
    </row>
    <row r="50" ht="13.55" customHeight="1">
      <c r="A50" s="137"/>
      <c r="B50" s="23"/>
      <c r="C50" s="9"/>
      <c r="D50" s="9"/>
      <c r="E50" s="9"/>
      <c r="F50" t="s" s="8">
        <v>10</v>
      </c>
      <c r="G50" t="s" s="33">
        <v>93</v>
      </c>
      <c r="H50" t="s" s="8">
        <v>10</v>
      </c>
      <c r="I50" t="s" s="33">
        <v>24</v>
      </c>
      <c r="J50" t="s" s="8">
        <v>10</v>
      </c>
      <c r="K50" s="34"/>
      <c r="L50" t="s" s="8">
        <v>10</v>
      </c>
      <c r="M50" t="s" s="33">
        <v>24</v>
      </c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t="s" s="33">
        <v>181</v>
      </c>
      <c r="Z50" t="s" s="8">
        <v>10</v>
      </c>
      <c r="AA50" t="s" s="33">
        <v>182</v>
      </c>
      <c r="AB50" t="s" s="8">
        <v>10</v>
      </c>
      <c r="AC50" t="s" s="33">
        <v>182</v>
      </c>
      <c r="AD50" s="131"/>
      <c r="AE50" s="13"/>
      <c r="AF50" s="7"/>
    </row>
    <row r="51" ht="13.55" customHeight="1">
      <c r="A51" s="9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31"/>
      <c r="AE51" s="13"/>
      <c r="AF51" s="7"/>
    </row>
    <row r="52" ht="13.75" customHeight="1">
      <c r="A52" s="136">
        <v>8</v>
      </c>
      <c r="B52" t="s" s="130">
        <v>185</v>
      </c>
      <c r="C52" s="9"/>
      <c r="D52" s="9"/>
      <c r="E52" t="s" s="8">
        <v>5</v>
      </c>
      <c r="F52" t="s" s="8">
        <v>6</v>
      </c>
      <c r="G52" s="16">
        <v>1055</v>
      </c>
      <c r="H52" t="s" s="8">
        <v>6</v>
      </c>
      <c r="I52" s="16">
        <v>3238</v>
      </c>
      <c r="J52" t="s" s="8">
        <v>6</v>
      </c>
      <c r="K52" s="18"/>
      <c r="L52" t="s" s="8">
        <v>6</v>
      </c>
      <c r="M52" s="18"/>
      <c r="N52" t="s" s="8">
        <v>6</v>
      </c>
      <c r="O52" s="18"/>
      <c r="P52" t="s" s="8">
        <v>6</v>
      </c>
      <c r="Q52" s="18"/>
      <c r="R52" t="s" s="8">
        <v>6</v>
      </c>
      <c r="S52" s="18"/>
      <c r="T52" t="s" s="8">
        <v>6</v>
      </c>
      <c r="U52" s="18"/>
      <c r="V52" t="s" s="8">
        <v>6</v>
      </c>
      <c r="W52" s="18"/>
      <c r="X52" t="s" s="8">
        <v>6</v>
      </c>
      <c r="Y52" s="16">
        <v>2460</v>
      </c>
      <c r="Z52" t="s" s="8">
        <v>6</v>
      </c>
      <c r="AA52" s="16">
        <v>2928</v>
      </c>
      <c r="AB52" t="s" s="8">
        <v>6</v>
      </c>
      <c r="AC52" s="16">
        <v>3106</v>
      </c>
      <c r="AD52" s="131"/>
      <c r="AE52" s="13"/>
      <c r="AF52" s="7"/>
    </row>
    <row r="53" ht="13.55" customHeight="1">
      <c r="A53" s="137"/>
      <c r="B53" s="9"/>
      <c r="C53" s="42"/>
      <c r="D53" s="42"/>
      <c r="E53" s="9"/>
      <c r="F53" t="s" s="8">
        <v>8</v>
      </c>
      <c r="G53" s="26">
        <v>900</v>
      </c>
      <c r="H53" t="s" s="8">
        <v>8</v>
      </c>
      <c r="I53" s="26">
        <v>900</v>
      </c>
      <c r="J53" t="s" s="8">
        <v>8</v>
      </c>
      <c r="K53" s="27"/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6">
        <v>850</v>
      </c>
      <c r="Z53" t="s" s="8">
        <v>8</v>
      </c>
      <c r="AA53" s="26">
        <v>850</v>
      </c>
      <c r="AB53" t="s" s="8">
        <v>8</v>
      </c>
      <c r="AC53" s="26">
        <v>850</v>
      </c>
      <c r="AD53" s="132" cm="1">
        <f t="array" ref="AD53">G53+I53+K53+M53+O53+Q53+S53+U53+W53+Y53+AA53+AC53</f>
        <v>4350</v>
      </c>
      <c r="AE53" s="50" cm="1">
        <f t="array" ref="AE53">850*12</f>
        <v>10200</v>
      </c>
      <c r="AF53" s="51" cm="1">
        <f t="array" ref="AF53">AE53-AD53</f>
        <v>5850</v>
      </c>
    </row>
    <row r="54" ht="13.55" customHeight="1">
      <c r="A54" s="137"/>
      <c r="B54" s="9"/>
      <c r="C54" t="s" s="8">
        <v>9</v>
      </c>
      <c r="D54" s="25">
        <v>1000</v>
      </c>
      <c r="E54" s="9"/>
      <c r="F54" t="s" s="8">
        <v>10</v>
      </c>
      <c r="G54" t="s" s="33">
        <v>11</v>
      </c>
      <c r="H54" t="s" s="8">
        <v>10</v>
      </c>
      <c r="I54" t="s" s="33">
        <v>64</v>
      </c>
      <c r="J54" t="s" s="8">
        <v>10</v>
      </c>
      <c r="K54" s="34"/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t="s" s="33">
        <v>160</v>
      </c>
      <c r="Z54" t="s" s="8">
        <v>10</v>
      </c>
      <c r="AA54" t="s" s="33">
        <v>186</v>
      </c>
      <c r="AB54" t="s" s="8">
        <v>10</v>
      </c>
      <c r="AC54" t="s" s="33">
        <v>187</v>
      </c>
      <c r="AD54" s="131"/>
      <c r="AE54" s="13"/>
      <c r="AF54" s="7"/>
    </row>
    <row r="55" ht="13.75" customHeight="1">
      <c r="A55" s="137"/>
      <c r="B55" t="s" s="8">
        <v>188</v>
      </c>
      <c r="C55" s="9"/>
      <c r="D55" s="9"/>
      <c r="E55" t="s" s="8">
        <v>14</v>
      </c>
      <c r="F55" t="s" s="8">
        <v>6</v>
      </c>
      <c r="G55" s="16">
        <v>2005</v>
      </c>
      <c r="H55" t="s" s="8">
        <v>6</v>
      </c>
      <c r="I55" s="16">
        <v>2205</v>
      </c>
      <c r="J55" t="s" s="8">
        <v>6</v>
      </c>
      <c r="K55" s="135"/>
      <c r="L55" t="s" s="8">
        <v>6</v>
      </c>
      <c r="M55" s="18"/>
      <c r="N55" t="s" s="8">
        <v>6</v>
      </c>
      <c r="O55" s="18"/>
      <c r="P55" t="s" s="8">
        <v>6</v>
      </c>
      <c r="Q55" s="18"/>
      <c r="R55" t="s" s="8">
        <v>6</v>
      </c>
      <c r="S55" s="18"/>
      <c r="T55" t="s" s="8">
        <v>6</v>
      </c>
      <c r="U55" s="18"/>
      <c r="V55" t="s" s="8">
        <v>6</v>
      </c>
      <c r="W55" s="18"/>
      <c r="X55" t="s" s="8">
        <v>6</v>
      </c>
      <c r="Y55" s="16">
        <v>1730</v>
      </c>
      <c r="Z55" t="s" s="8">
        <v>6</v>
      </c>
      <c r="AA55" s="16">
        <v>1785</v>
      </c>
      <c r="AB55" t="s" s="8">
        <v>6</v>
      </c>
      <c r="AC55" s="16">
        <v>1931</v>
      </c>
      <c r="AD55" s="131"/>
      <c r="AE55" s="13"/>
      <c r="AF55" s="7"/>
    </row>
    <row r="56" ht="13.55" customHeight="1">
      <c r="A56" s="137"/>
      <c r="B56" t="s" s="8">
        <v>189</v>
      </c>
      <c r="C56" s="9"/>
      <c r="D56" s="9"/>
      <c r="E56" s="9"/>
      <c r="F56" t="s" s="8">
        <v>8</v>
      </c>
      <c r="G56" s="26">
        <v>600</v>
      </c>
      <c r="H56" t="s" s="8">
        <v>8</v>
      </c>
      <c r="I56" s="26">
        <v>600</v>
      </c>
      <c r="J56" t="s" s="8">
        <v>8</v>
      </c>
      <c r="K56" s="135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6">
        <v>500</v>
      </c>
      <c r="Z56" t="s" s="8">
        <v>8</v>
      </c>
      <c r="AA56" s="26">
        <v>500</v>
      </c>
      <c r="AB56" t="s" s="8">
        <v>8</v>
      </c>
      <c r="AC56" s="26">
        <v>500</v>
      </c>
      <c r="AD56" s="132" cm="1">
        <f t="array" ref="AD56">G56+I56+K56+M56+O56+Q56+S56+U56+W56+Y56+AA56+AC56</f>
        <v>2700</v>
      </c>
      <c r="AE56" s="50" cm="1">
        <f t="array" ref="AE56">500*11</f>
        <v>5500</v>
      </c>
      <c r="AF56" s="51" cm="1">
        <f t="array" ref="AF56">AE56-AD56</f>
        <v>2800</v>
      </c>
    </row>
    <row r="57" ht="13.55" customHeight="1">
      <c r="A57" s="137"/>
      <c r="B57" s="23"/>
      <c r="C57" s="9"/>
      <c r="D57" s="9"/>
      <c r="E57" s="9"/>
      <c r="F57" t="s" s="8">
        <v>10</v>
      </c>
      <c r="G57" t="s" s="33">
        <v>190</v>
      </c>
      <c r="H57" t="s" s="8">
        <v>10</v>
      </c>
      <c r="I57" t="s" s="33">
        <v>64</v>
      </c>
      <c r="J57" t="s" s="8">
        <v>10</v>
      </c>
      <c r="K57" s="135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t="s" s="33">
        <v>160</v>
      </c>
      <c r="Z57" t="s" s="8">
        <v>10</v>
      </c>
      <c r="AA57" t="s" s="33">
        <v>186</v>
      </c>
      <c r="AB57" t="s" s="8">
        <v>10</v>
      </c>
      <c r="AC57" t="s" s="33">
        <v>187</v>
      </c>
      <c r="AD57" s="131"/>
      <c r="AE57" s="13"/>
      <c r="AF57" s="7"/>
    </row>
    <row r="58" ht="13.55" customHeight="1">
      <c r="A58" s="9"/>
      <c r="B58" s="9"/>
      <c r="C58" s="9"/>
      <c r="D58" s="9"/>
      <c r="E58" s="9"/>
      <c r="F58" s="9"/>
      <c r="G58" s="27"/>
      <c r="H58" s="9"/>
      <c r="I58" s="27"/>
      <c r="J58" s="9"/>
      <c r="K58" s="2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31"/>
      <c r="AE58" s="13"/>
      <c r="AF58" s="7"/>
    </row>
    <row r="59" ht="13.75" customHeight="1">
      <c r="A59" s="136">
        <v>9</v>
      </c>
      <c r="B59" t="s" s="130">
        <v>191</v>
      </c>
      <c r="C59" s="9"/>
      <c r="D59" s="9"/>
      <c r="E59" t="s" s="8">
        <v>5</v>
      </c>
      <c r="F59" t="s" s="8">
        <v>6</v>
      </c>
      <c r="G59" s="16">
        <v>1084</v>
      </c>
      <c r="H59" t="s" s="8">
        <v>6</v>
      </c>
      <c r="I59" s="16">
        <v>3214</v>
      </c>
      <c r="J59" t="s" s="8">
        <v>6</v>
      </c>
      <c r="K59" s="16">
        <v>3252</v>
      </c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6">
        <v>2417</v>
      </c>
      <c r="Z59" t="s" s="8">
        <v>6</v>
      </c>
      <c r="AA59" s="16">
        <v>2926</v>
      </c>
      <c r="AB59" t="s" s="8">
        <v>6</v>
      </c>
      <c r="AC59" s="16">
        <v>2926</v>
      </c>
      <c r="AD59" s="131"/>
      <c r="AE59" s="13"/>
      <c r="AF59" s="7"/>
    </row>
    <row r="60" ht="13.55" customHeight="1">
      <c r="A60" s="137"/>
      <c r="B60" s="9"/>
      <c r="C60" s="9"/>
      <c r="D60" s="42"/>
      <c r="E60" s="9"/>
      <c r="F60" t="s" s="8">
        <v>8</v>
      </c>
      <c r="G60" s="26">
        <v>900</v>
      </c>
      <c r="H60" t="s" s="8">
        <v>8</v>
      </c>
      <c r="I60" s="26">
        <v>900</v>
      </c>
      <c r="J60" t="s" s="8">
        <v>8</v>
      </c>
      <c r="K60" s="26">
        <v>900</v>
      </c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6">
        <v>850</v>
      </c>
      <c r="Z60" t="s" s="8">
        <v>8</v>
      </c>
      <c r="AA60" s="26">
        <v>850</v>
      </c>
      <c r="AB60" t="s" s="8">
        <v>8</v>
      </c>
      <c r="AC60" s="26">
        <v>850</v>
      </c>
      <c r="AD60" s="132" cm="1">
        <f t="array" ref="AD60">G60+I60+K60+M60+O60+Q60+S60+U60+W60+Y60+AA60+AC60</f>
        <v>5250</v>
      </c>
      <c r="AE60" s="50" cm="1">
        <f t="array" ref="AE60">850*12</f>
        <v>10200</v>
      </c>
      <c r="AF60" s="51" cm="1">
        <f t="array" ref="AF60">AE60-AD60</f>
        <v>4950</v>
      </c>
    </row>
    <row r="61" ht="13.55" customHeight="1">
      <c r="A61" s="137"/>
      <c r="B61" s="9"/>
      <c r="C61" t="s" s="8">
        <v>9</v>
      </c>
      <c r="D61" s="25">
        <v>1000</v>
      </c>
      <c r="E61" s="9"/>
      <c r="F61" t="s" s="8">
        <v>10</v>
      </c>
      <c r="G61" t="s" s="33">
        <v>17</v>
      </c>
      <c r="H61" t="s" s="8">
        <v>10</v>
      </c>
      <c r="I61" t="s" s="33">
        <v>55</v>
      </c>
      <c r="J61" t="s" s="8">
        <v>10</v>
      </c>
      <c r="K61" t="s" s="33">
        <v>192</v>
      </c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t="s" s="33">
        <v>193</v>
      </c>
      <c r="Z61" t="s" s="8">
        <v>10</v>
      </c>
      <c r="AA61" t="s" s="33">
        <v>186</v>
      </c>
      <c r="AB61" t="s" s="8">
        <v>10</v>
      </c>
      <c r="AC61" t="s" s="33">
        <v>186</v>
      </c>
      <c r="AD61" s="131"/>
      <c r="AE61" s="13"/>
      <c r="AF61" s="7"/>
    </row>
    <row r="62" ht="13.75" customHeight="1">
      <c r="A62" s="137"/>
      <c r="B62" t="s" s="8">
        <v>194</v>
      </c>
      <c r="C62" s="9"/>
      <c r="D62" s="9"/>
      <c r="E62" t="s" s="8">
        <v>14</v>
      </c>
      <c r="F62" t="s" s="8">
        <v>6</v>
      </c>
      <c r="G62" s="18"/>
      <c r="H62" t="s" s="8">
        <v>6</v>
      </c>
      <c r="I62" s="16">
        <v>2125</v>
      </c>
      <c r="J62" t="s" s="8">
        <v>6</v>
      </c>
      <c r="K62" s="27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6">
        <v>1045</v>
      </c>
      <c r="Z62" t="s" s="8">
        <v>6</v>
      </c>
      <c r="AA62" s="16">
        <v>1783</v>
      </c>
      <c r="AB62" t="s" s="8">
        <v>6</v>
      </c>
      <c r="AC62" s="16">
        <v>1783</v>
      </c>
      <c r="AD62" s="131"/>
      <c r="AE62" s="13"/>
      <c r="AF62" s="7"/>
    </row>
    <row r="63" ht="13.55" customHeight="1">
      <c r="A63" s="137"/>
      <c r="B63" t="s" s="8">
        <v>195</v>
      </c>
      <c r="C63" s="9"/>
      <c r="D63" s="9"/>
      <c r="E63" s="9"/>
      <c r="F63" t="s" s="8">
        <v>8</v>
      </c>
      <c r="G63" s="27"/>
      <c r="H63" t="s" s="8">
        <v>8</v>
      </c>
      <c r="I63" s="26">
        <v>600</v>
      </c>
      <c r="J63" t="s" s="8">
        <v>8</v>
      </c>
      <c r="K63" s="27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6">
        <v>700</v>
      </c>
      <c r="Z63" t="s" s="8">
        <v>8</v>
      </c>
      <c r="AA63" s="26">
        <v>700</v>
      </c>
      <c r="AB63" t="s" s="8">
        <v>8</v>
      </c>
      <c r="AC63" s="26">
        <v>700</v>
      </c>
      <c r="AD63" s="132" cm="1">
        <f t="array" ref="AD63">G63+I63+K63+M63+O63+Q63+S63+U63+W63+Y63+AA63+AC63</f>
        <v>2700</v>
      </c>
      <c r="AE63" s="50" cm="1">
        <f t="array" ref="AE63">700*11</f>
        <v>7700</v>
      </c>
      <c r="AF63" s="51" cm="1">
        <f t="array" ref="AF63">AE63-AD63</f>
        <v>5000</v>
      </c>
    </row>
    <row r="64" ht="13.55" customHeight="1">
      <c r="A64" s="137"/>
      <c r="B64" s="23"/>
      <c r="C64" s="9"/>
      <c r="D64" s="9"/>
      <c r="E64" s="9"/>
      <c r="F64" t="s" s="8">
        <v>10</v>
      </c>
      <c r="G64" s="34"/>
      <c r="H64" t="s" s="8">
        <v>10</v>
      </c>
      <c r="I64" t="s" s="33">
        <v>196</v>
      </c>
      <c r="J64" t="s" s="8">
        <v>10</v>
      </c>
      <c r="K64" s="27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t="s" s="33">
        <v>193</v>
      </c>
      <c r="Z64" t="s" s="8">
        <v>10</v>
      </c>
      <c r="AA64" t="s" s="33">
        <v>186</v>
      </c>
      <c r="AB64" t="s" s="8">
        <v>10</v>
      </c>
      <c r="AC64" t="s" s="33">
        <v>186</v>
      </c>
      <c r="AD64" s="131"/>
      <c r="AE64" s="13"/>
      <c r="AF64" s="7"/>
    </row>
    <row r="65" ht="13.55" customHeight="1">
      <c r="A65" s="9"/>
      <c r="B65" s="9"/>
      <c r="C65" s="9"/>
      <c r="D65" s="9"/>
      <c r="E65" s="9"/>
      <c r="F65" s="9"/>
      <c r="G65" s="27"/>
      <c r="H65" s="9"/>
      <c r="I65" s="27"/>
      <c r="J65" s="9"/>
      <c r="K65" s="2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31"/>
      <c r="AE65" s="13"/>
      <c r="AF65" s="7"/>
    </row>
    <row r="66" ht="13.75" customHeight="1">
      <c r="A66" s="136">
        <v>10</v>
      </c>
      <c r="B66" t="s" s="130">
        <v>197</v>
      </c>
      <c r="C66" s="9"/>
      <c r="D66" s="9"/>
      <c r="E66" t="s" s="8">
        <v>5</v>
      </c>
      <c r="F66" t="s" s="8">
        <v>6</v>
      </c>
      <c r="G66" s="16">
        <v>1096</v>
      </c>
      <c r="H66" t="s" s="8">
        <v>6</v>
      </c>
      <c r="I66" s="16">
        <v>1096</v>
      </c>
      <c r="J66" t="s" s="8">
        <v>6</v>
      </c>
      <c r="K66" s="16">
        <v>1096</v>
      </c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6">
        <v>1895</v>
      </c>
      <c r="Z66" t="s" s="8">
        <v>6</v>
      </c>
      <c r="AA66" s="16">
        <v>2917</v>
      </c>
      <c r="AB66" t="s" s="8">
        <v>6</v>
      </c>
      <c r="AC66" s="16">
        <v>2917</v>
      </c>
      <c r="AD66" s="131"/>
      <c r="AE66" s="13"/>
      <c r="AF66" s="7"/>
    </row>
    <row r="67" ht="13.55" customHeight="1">
      <c r="A67" s="137"/>
      <c r="B67" s="9"/>
      <c r="C67" s="42"/>
      <c r="D67" s="42"/>
      <c r="E67" s="9"/>
      <c r="F67" t="s" s="8">
        <v>8</v>
      </c>
      <c r="G67" s="26">
        <v>900</v>
      </c>
      <c r="H67" t="s" s="8">
        <v>8</v>
      </c>
      <c r="I67" s="26">
        <v>900</v>
      </c>
      <c r="J67" t="s" s="8">
        <v>8</v>
      </c>
      <c r="K67" s="26">
        <v>900</v>
      </c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6">
        <v>850</v>
      </c>
      <c r="Z67" t="s" s="8">
        <v>8</v>
      </c>
      <c r="AA67" s="26">
        <v>850</v>
      </c>
      <c r="AB67" t="s" s="8">
        <v>8</v>
      </c>
      <c r="AC67" s="26">
        <v>850</v>
      </c>
      <c r="AD67" s="132" cm="1">
        <f t="array" ref="AD67">G67+I67+K67+M67+O67+Q67+S67+U67+W67+Y67+AA67+AC67</f>
        <v>5250</v>
      </c>
      <c r="AE67" s="50" cm="1">
        <f t="array" ref="AE67">850*12</f>
        <v>10200</v>
      </c>
      <c r="AF67" s="51" cm="1">
        <f t="array" ref="AF67">AE67-AD67</f>
        <v>4950</v>
      </c>
    </row>
    <row r="68" ht="13.55" customHeight="1">
      <c r="A68" s="137"/>
      <c r="B68" s="9"/>
      <c r="C68" t="s" s="8">
        <v>9</v>
      </c>
      <c r="D68" s="25">
        <v>1000</v>
      </c>
      <c r="E68" s="9"/>
      <c r="F68" t="s" s="8">
        <v>10</v>
      </c>
      <c r="G68" t="s" s="33">
        <v>23</v>
      </c>
      <c r="H68" t="s" s="8">
        <v>10</v>
      </c>
      <c r="I68" t="s" s="33">
        <v>23</v>
      </c>
      <c r="J68" t="s" s="8">
        <v>10</v>
      </c>
      <c r="K68" t="s" s="33">
        <v>23</v>
      </c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t="s" s="33">
        <v>198</v>
      </c>
      <c r="Z68" t="s" s="8">
        <v>10</v>
      </c>
      <c r="AA68" t="s" s="33">
        <v>186</v>
      </c>
      <c r="AB68" t="s" s="8">
        <v>10</v>
      </c>
      <c r="AC68" t="s" s="33">
        <v>186</v>
      </c>
      <c r="AD68" s="131"/>
      <c r="AE68" s="13"/>
      <c r="AF68" s="7"/>
    </row>
    <row r="69" ht="13.75" customHeight="1">
      <c r="A69" s="137"/>
      <c r="B69" t="s" s="8">
        <v>199</v>
      </c>
      <c r="C69" s="9"/>
      <c r="D69" s="9"/>
      <c r="E69" t="s" s="8">
        <v>14</v>
      </c>
      <c r="F69" t="s" s="8">
        <v>6</v>
      </c>
      <c r="G69" s="16">
        <v>2032</v>
      </c>
      <c r="H69" t="s" s="8">
        <v>6</v>
      </c>
      <c r="I69" s="16">
        <v>2032</v>
      </c>
      <c r="J69" t="s" s="8">
        <v>6</v>
      </c>
      <c r="K69" s="23"/>
      <c r="L69" t="s" s="8">
        <v>6</v>
      </c>
      <c r="M69" s="18"/>
      <c r="N69" t="s" s="8">
        <v>6</v>
      </c>
      <c r="O69" s="18"/>
      <c r="P69" t="s" s="8">
        <v>6</v>
      </c>
      <c r="Q69" s="18"/>
      <c r="R69" t="s" s="8">
        <v>6</v>
      </c>
      <c r="S69" s="18"/>
      <c r="T69" t="s" s="8">
        <v>6</v>
      </c>
      <c r="U69" s="18"/>
      <c r="V69" t="s" s="8">
        <v>6</v>
      </c>
      <c r="W69" s="18"/>
      <c r="X69" t="s" s="8">
        <v>6</v>
      </c>
      <c r="Y69" s="16">
        <v>603</v>
      </c>
      <c r="Z69" t="s" s="8">
        <v>6</v>
      </c>
      <c r="AA69" s="16">
        <v>1773</v>
      </c>
      <c r="AB69" t="s" s="8">
        <v>6</v>
      </c>
      <c r="AC69" s="16">
        <v>1773</v>
      </c>
      <c r="AD69" s="131"/>
      <c r="AE69" s="13"/>
      <c r="AF69" s="7"/>
    </row>
    <row r="70" ht="13.55" customHeight="1">
      <c r="A70" s="137"/>
      <c r="B70" t="s" s="8">
        <v>200</v>
      </c>
      <c r="C70" s="9"/>
      <c r="D70" s="9"/>
      <c r="E70" s="9"/>
      <c r="F70" t="s" s="8">
        <v>8</v>
      </c>
      <c r="G70" s="26">
        <v>800</v>
      </c>
      <c r="H70" t="s" s="8">
        <v>8</v>
      </c>
      <c r="I70" s="26">
        <v>800</v>
      </c>
      <c r="J70" t="s" s="8">
        <v>8</v>
      </c>
      <c r="K70" s="23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8">
        <v>8</v>
      </c>
      <c r="Y70" s="26">
        <v>700</v>
      </c>
      <c r="Z70" t="s" s="8">
        <v>8</v>
      </c>
      <c r="AA70" s="26">
        <v>700</v>
      </c>
      <c r="AB70" t="s" s="8">
        <v>8</v>
      </c>
      <c r="AC70" s="26">
        <v>700</v>
      </c>
      <c r="AD70" s="132" cm="1">
        <f t="array" ref="AD70">G70+I70+K70+M70+O70+Q70+S70+U70+W70+Y70+AA70+AC70</f>
        <v>3700</v>
      </c>
      <c r="AE70" s="50" cm="1">
        <f t="array" ref="AE70">700*11</f>
        <v>7700</v>
      </c>
      <c r="AF70" s="51" cm="1">
        <f t="array" ref="AF70">AE70-AD70</f>
        <v>4000</v>
      </c>
    </row>
    <row r="71" ht="13.55" customHeight="1">
      <c r="A71" s="137"/>
      <c r="B71" s="23"/>
      <c r="C71" s="9"/>
      <c r="D71" s="9"/>
      <c r="E71" s="9"/>
      <c r="F71" t="s" s="8">
        <v>10</v>
      </c>
      <c r="G71" t="s" s="33">
        <v>23</v>
      </c>
      <c r="H71" t="s" s="8">
        <v>10</v>
      </c>
      <c r="I71" t="s" s="33">
        <v>23</v>
      </c>
      <c r="J71" t="s" s="8">
        <v>10</v>
      </c>
      <c r="K71" s="23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8">
        <v>10</v>
      </c>
      <c r="Y71" t="s" s="33">
        <v>198</v>
      </c>
      <c r="Z71" t="s" s="8">
        <v>10</v>
      </c>
      <c r="AA71" t="s" s="33">
        <v>198</v>
      </c>
      <c r="AB71" t="s" s="8">
        <v>10</v>
      </c>
      <c r="AC71" t="s" s="33">
        <v>198</v>
      </c>
      <c r="AD71" s="131"/>
      <c r="AE71" s="13"/>
      <c r="AF71" s="7"/>
    </row>
    <row r="72" ht="13.55" customHeight="1">
      <c r="A72" s="9"/>
      <c r="B72" s="9"/>
      <c r="C72" s="9"/>
      <c r="D72" s="9"/>
      <c r="E72" s="9"/>
      <c r="F72" s="9"/>
      <c r="G72" s="27"/>
      <c r="H72" s="9"/>
      <c r="I72" s="27"/>
      <c r="J72" s="9"/>
      <c r="K72" s="2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31"/>
      <c r="AE72" s="13"/>
      <c r="AF72" s="7"/>
    </row>
    <row r="73" ht="13.75" customHeight="1">
      <c r="A73" s="136">
        <v>11</v>
      </c>
      <c r="B73" t="s" s="130">
        <v>201</v>
      </c>
      <c r="C73" s="9"/>
      <c r="D73" s="9"/>
      <c r="E73" t="s" s="8">
        <v>5</v>
      </c>
      <c r="F73" t="s" s="8">
        <v>6</v>
      </c>
      <c r="G73" s="16">
        <v>1144</v>
      </c>
      <c r="H73" t="s" s="8">
        <v>6</v>
      </c>
      <c r="I73" s="18"/>
      <c r="J73" t="s" s="8">
        <v>6</v>
      </c>
      <c r="K73" s="18"/>
      <c r="L73" t="s" s="8">
        <v>6</v>
      </c>
      <c r="M73" s="18"/>
      <c r="N73" t="s" s="8">
        <v>6</v>
      </c>
      <c r="O73" s="18"/>
      <c r="P73" t="s" s="8">
        <v>6</v>
      </c>
      <c r="Q73" s="18"/>
      <c r="R73" t="s" s="8">
        <v>6</v>
      </c>
      <c r="S73" s="18"/>
      <c r="T73" t="s" s="8">
        <v>6</v>
      </c>
      <c r="U73" s="18"/>
      <c r="V73" t="s" s="8">
        <v>6</v>
      </c>
      <c r="W73" s="18"/>
      <c r="X73" t="s" s="8">
        <v>6</v>
      </c>
      <c r="Y73" s="16">
        <v>2420</v>
      </c>
      <c r="Z73" t="s" s="8">
        <v>6</v>
      </c>
      <c r="AA73" s="131"/>
      <c r="AB73" t="s" s="8">
        <v>6</v>
      </c>
      <c r="AC73" s="131"/>
      <c r="AD73" s="131"/>
      <c r="AE73" s="13"/>
      <c r="AF73" s="7"/>
    </row>
    <row r="74" ht="13.55" customHeight="1">
      <c r="A74" s="137"/>
      <c r="B74" s="9"/>
      <c r="C74" s="42"/>
      <c r="D74" s="42"/>
      <c r="E74" s="9"/>
      <c r="F74" t="s" s="8">
        <v>8</v>
      </c>
      <c r="G74" s="26">
        <v>900</v>
      </c>
      <c r="H74" t="s" s="8">
        <v>8</v>
      </c>
      <c r="I74" s="27"/>
      <c r="J74" t="s" s="8">
        <v>8</v>
      </c>
      <c r="K74" s="27"/>
      <c r="L74" t="s" s="8">
        <v>8</v>
      </c>
      <c r="M74" s="27"/>
      <c r="N74" t="s" s="8">
        <v>8</v>
      </c>
      <c r="O74" s="27"/>
      <c r="P74" t="s" s="8">
        <v>8</v>
      </c>
      <c r="Q74" s="27"/>
      <c r="R74" t="s" s="8">
        <v>8</v>
      </c>
      <c r="S74" s="27"/>
      <c r="T74" t="s" s="8">
        <v>8</v>
      </c>
      <c r="U74" s="27"/>
      <c r="V74" t="s" s="8">
        <v>8</v>
      </c>
      <c r="W74" s="27"/>
      <c r="X74" t="s" s="8">
        <v>8</v>
      </c>
      <c r="Y74" s="26">
        <v>850</v>
      </c>
      <c r="Z74" t="s" s="8">
        <v>8</v>
      </c>
      <c r="AA74" s="27"/>
      <c r="AB74" t="s" s="8">
        <v>8</v>
      </c>
      <c r="AC74" s="27"/>
      <c r="AD74" s="132" cm="1">
        <f t="array" ref="AD74">G74+I74+K74+M74+O74+Q74+S74+U74+W74+Y74+AA74+AC74</f>
        <v>1750</v>
      </c>
      <c r="AE74" s="50" cm="1">
        <f t="array" ref="AE74">850*12</f>
        <v>10200</v>
      </c>
      <c r="AF74" s="51" cm="1">
        <f t="array" ref="AF74">AE74-AD74</f>
        <v>8450</v>
      </c>
    </row>
    <row r="75" ht="13.55" customHeight="1">
      <c r="A75" s="137"/>
      <c r="B75" s="9"/>
      <c r="C75" t="s" s="8">
        <v>9</v>
      </c>
      <c r="D75" s="25">
        <v>1000</v>
      </c>
      <c r="E75" s="9"/>
      <c r="F75" t="s" s="8">
        <v>10</v>
      </c>
      <c r="G75" t="s" s="33">
        <v>81</v>
      </c>
      <c r="H75" t="s" s="8">
        <v>10</v>
      </c>
      <c r="I75" s="34"/>
      <c r="J75" t="s" s="8">
        <v>10</v>
      </c>
      <c r="K75" s="34"/>
      <c r="L75" t="s" s="8">
        <v>10</v>
      </c>
      <c r="M75" s="34"/>
      <c r="N75" t="s" s="8">
        <v>10</v>
      </c>
      <c r="O75" s="34"/>
      <c r="P75" t="s" s="8">
        <v>10</v>
      </c>
      <c r="Q75" s="34"/>
      <c r="R75" t="s" s="8">
        <v>10</v>
      </c>
      <c r="S75" s="34"/>
      <c r="T75" t="s" s="8">
        <v>10</v>
      </c>
      <c r="U75" s="34"/>
      <c r="V75" t="s" s="8">
        <v>10</v>
      </c>
      <c r="W75" s="34"/>
      <c r="X75" t="s" s="8">
        <v>10</v>
      </c>
      <c r="Y75" t="s" s="33">
        <v>193</v>
      </c>
      <c r="Z75" t="s" s="8">
        <v>10</v>
      </c>
      <c r="AA75" s="46"/>
      <c r="AB75" t="s" s="8">
        <v>10</v>
      </c>
      <c r="AC75" s="46"/>
      <c r="AD75" s="131"/>
      <c r="AE75" s="13"/>
      <c r="AF75" s="7"/>
    </row>
    <row r="76" ht="13.75" customHeight="1">
      <c r="A76" s="137"/>
      <c r="B76" t="s" s="8">
        <v>202</v>
      </c>
      <c r="C76" s="9"/>
      <c r="D76" s="9"/>
      <c r="E76" t="s" s="8">
        <v>14</v>
      </c>
      <c r="F76" t="s" s="8">
        <v>6</v>
      </c>
      <c r="G76" s="16">
        <v>2064</v>
      </c>
      <c r="H76" t="s" s="8">
        <v>6</v>
      </c>
      <c r="I76" s="18"/>
      <c r="J76" t="s" s="8">
        <v>6</v>
      </c>
      <c r="K76" s="135"/>
      <c r="L76" t="s" s="8">
        <v>6</v>
      </c>
      <c r="M76" s="18"/>
      <c r="N76" t="s" s="8">
        <v>6</v>
      </c>
      <c r="O76" s="18"/>
      <c r="P76" t="s" s="8">
        <v>6</v>
      </c>
      <c r="Q76" s="18"/>
      <c r="R76" t="s" s="8">
        <v>6</v>
      </c>
      <c r="S76" s="18"/>
      <c r="T76" t="s" s="8">
        <v>6</v>
      </c>
      <c r="U76" s="18"/>
      <c r="V76" t="s" s="8">
        <v>6</v>
      </c>
      <c r="W76" s="18"/>
      <c r="X76" t="s" s="8">
        <v>6</v>
      </c>
      <c r="Y76" s="16">
        <v>1048</v>
      </c>
      <c r="Z76" t="s" s="8">
        <v>6</v>
      </c>
      <c r="AA76" s="131"/>
      <c r="AB76" t="s" s="8">
        <v>6</v>
      </c>
      <c r="AC76" s="131"/>
      <c r="AD76" s="131"/>
      <c r="AE76" s="13"/>
      <c r="AF76" s="7"/>
    </row>
    <row r="77" ht="13.55" customHeight="1">
      <c r="A77" s="137"/>
      <c r="B77" t="s" s="8">
        <v>203</v>
      </c>
      <c r="C77" s="9"/>
      <c r="D77" s="9"/>
      <c r="E77" s="9"/>
      <c r="F77" t="s" s="8">
        <v>8</v>
      </c>
      <c r="G77" s="26">
        <v>1000</v>
      </c>
      <c r="H77" t="s" s="8">
        <v>8</v>
      </c>
      <c r="I77" s="27"/>
      <c r="J77" t="s" s="8">
        <v>8</v>
      </c>
      <c r="K77" s="135"/>
      <c r="L77" t="s" s="8">
        <v>8</v>
      </c>
      <c r="M77" s="27"/>
      <c r="N77" t="s" s="8">
        <v>8</v>
      </c>
      <c r="O77" s="27"/>
      <c r="P77" t="s" s="8">
        <v>8</v>
      </c>
      <c r="Q77" s="27"/>
      <c r="R77" t="s" s="8">
        <v>8</v>
      </c>
      <c r="S77" s="27"/>
      <c r="T77" t="s" s="8">
        <v>8</v>
      </c>
      <c r="U77" s="27"/>
      <c r="V77" t="s" s="8">
        <v>8</v>
      </c>
      <c r="W77" s="27"/>
      <c r="X77" t="s" s="8">
        <v>8</v>
      </c>
      <c r="Y77" s="26">
        <v>900</v>
      </c>
      <c r="Z77" t="s" s="8">
        <v>8</v>
      </c>
      <c r="AA77" s="27"/>
      <c r="AB77" t="s" s="8">
        <v>8</v>
      </c>
      <c r="AC77" s="27"/>
      <c r="AD77" s="132" cm="1">
        <f t="array" ref="AD77">G77+I77+K77+M77+O77+Q77+S77+U77+W77+Y77+AA77+AC77</f>
        <v>1900</v>
      </c>
      <c r="AE77" s="50" cm="1">
        <f t="array" ref="AE77">900*11</f>
        <v>9900</v>
      </c>
      <c r="AF77" s="51" cm="1">
        <f t="array" ref="AF77">AE77-AD77</f>
        <v>8000</v>
      </c>
    </row>
    <row r="78" ht="13.55" customHeight="1">
      <c r="A78" s="137"/>
      <c r="B78" s="23"/>
      <c r="C78" s="9"/>
      <c r="D78" s="9"/>
      <c r="E78" s="9"/>
      <c r="F78" t="s" s="8">
        <v>10</v>
      </c>
      <c r="G78" t="s" s="33">
        <v>81</v>
      </c>
      <c r="H78" t="s" s="8">
        <v>10</v>
      </c>
      <c r="I78" s="34"/>
      <c r="J78" t="s" s="8">
        <v>10</v>
      </c>
      <c r="K78" s="135"/>
      <c r="L78" t="s" s="8">
        <v>10</v>
      </c>
      <c r="M78" s="34"/>
      <c r="N78" t="s" s="8">
        <v>10</v>
      </c>
      <c r="O78" s="34"/>
      <c r="P78" t="s" s="8">
        <v>10</v>
      </c>
      <c r="Q78" s="34"/>
      <c r="R78" t="s" s="8">
        <v>10</v>
      </c>
      <c r="S78" s="34"/>
      <c r="T78" t="s" s="8">
        <v>10</v>
      </c>
      <c r="U78" s="34"/>
      <c r="V78" t="s" s="8">
        <v>10</v>
      </c>
      <c r="W78" s="34"/>
      <c r="X78" t="s" s="8">
        <v>10</v>
      </c>
      <c r="Y78" t="s" s="33">
        <v>193</v>
      </c>
      <c r="Z78" t="s" s="8">
        <v>10</v>
      </c>
      <c r="AA78" s="34"/>
      <c r="AB78" t="s" s="8">
        <v>10</v>
      </c>
      <c r="AC78" s="34"/>
      <c r="AD78" s="131"/>
      <c r="AE78" s="13"/>
      <c r="AF78" s="7"/>
    </row>
    <row r="79" ht="13.55" customHeight="1">
      <c r="A79" s="9"/>
      <c r="B79" s="9"/>
      <c r="C79" s="9"/>
      <c r="D79" s="9"/>
      <c r="E79" s="9"/>
      <c r="F79" s="9"/>
      <c r="G79" s="27"/>
      <c r="H79" s="9"/>
      <c r="I79" s="27"/>
      <c r="J79" s="9"/>
      <c r="K79" s="2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31"/>
      <c r="AE79" s="13"/>
      <c r="AF79" s="7"/>
    </row>
    <row r="80" ht="13.75" customHeight="1">
      <c r="A80" s="136">
        <v>12</v>
      </c>
      <c r="B80" t="s" s="130">
        <v>204</v>
      </c>
      <c r="C80" s="9"/>
      <c r="D80" s="9"/>
      <c r="E80" t="s" s="8">
        <v>5</v>
      </c>
      <c r="F80" t="s" s="8">
        <v>6</v>
      </c>
      <c r="G80" s="16">
        <v>1173</v>
      </c>
      <c r="H80" t="s" s="8">
        <v>6</v>
      </c>
      <c r="I80" s="18"/>
      <c r="J80" t="s" s="8">
        <v>6</v>
      </c>
      <c r="K80" s="18"/>
      <c r="L80" t="s" s="8">
        <v>6</v>
      </c>
      <c r="M80" s="18"/>
      <c r="N80" t="s" s="8">
        <v>6</v>
      </c>
      <c r="O80" s="18"/>
      <c r="P80" t="s" s="8">
        <v>6</v>
      </c>
      <c r="Q80" s="18"/>
      <c r="R80" t="s" s="8">
        <v>6</v>
      </c>
      <c r="S80" s="18"/>
      <c r="T80" t="s" s="8">
        <v>6</v>
      </c>
      <c r="U80" s="18"/>
      <c r="V80" t="s" s="8">
        <v>6</v>
      </c>
      <c r="W80" s="18"/>
      <c r="X80" t="s" s="8">
        <v>6</v>
      </c>
      <c r="Y80" s="16">
        <v>2374</v>
      </c>
      <c r="Z80" t="s" s="8">
        <v>6</v>
      </c>
      <c r="AA80" s="16">
        <v>2976</v>
      </c>
      <c r="AB80" t="s" s="8">
        <v>6</v>
      </c>
      <c r="AC80" s="16">
        <v>2976</v>
      </c>
      <c r="AD80" s="131"/>
      <c r="AE80" s="13"/>
      <c r="AF80" s="7"/>
    </row>
    <row r="81" ht="13.55" customHeight="1">
      <c r="A81" s="137"/>
      <c r="B81" s="23"/>
      <c r="C81" s="42"/>
      <c r="D81" s="42"/>
      <c r="E81" s="9"/>
      <c r="F81" t="s" s="8">
        <v>8</v>
      </c>
      <c r="G81" s="26">
        <v>450</v>
      </c>
      <c r="H81" t="s" s="8">
        <v>8</v>
      </c>
      <c r="I81" s="27"/>
      <c r="J81" t="s" s="8">
        <v>8</v>
      </c>
      <c r="K81" s="27"/>
      <c r="L81" t="s" s="8">
        <v>8</v>
      </c>
      <c r="M81" s="27"/>
      <c r="N81" t="s" s="8">
        <v>8</v>
      </c>
      <c r="O81" s="27"/>
      <c r="P81" t="s" s="8">
        <v>8</v>
      </c>
      <c r="Q81" s="27"/>
      <c r="R81" t="s" s="8">
        <v>8</v>
      </c>
      <c r="S81" s="27"/>
      <c r="T81" t="s" s="8">
        <v>8</v>
      </c>
      <c r="U81" s="27"/>
      <c r="V81" t="s" s="8">
        <v>8</v>
      </c>
      <c r="W81" s="27"/>
      <c r="X81" t="s" s="8">
        <v>8</v>
      </c>
      <c r="Y81" s="26">
        <v>425</v>
      </c>
      <c r="Z81" t="s" s="8">
        <v>8</v>
      </c>
      <c r="AA81" s="26">
        <v>425</v>
      </c>
      <c r="AB81" t="s" s="8">
        <v>8</v>
      </c>
      <c r="AC81" s="26">
        <v>425</v>
      </c>
      <c r="AD81" s="132" cm="1">
        <f t="array" ref="AD81">G81+I81+K81+M81+O81+Q81+S81+U81+W81+Y81+AA81+AC81</f>
        <v>1725</v>
      </c>
      <c r="AE81" s="50" cm="1">
        <f t="array" ref="AE81">425*12</f>
        <v>5100</v>
      </c>
      <c r="AF81" s="51" cm="1">
        <f t="array" ref="AF81">AE81-AD81</f>
        <v>3375</v>
      </c>
    </row>
    <row r="82" ht="13.55" customHeight="1">
      <c r="A82" s="137"/>
      <c r="B82" t="s" s="144">
        <v>60</v>
      </c>
      <c r="C82" t="s" s="8">
        <v>9</v>
      </c>
      <c r="D82" s="25">
        <v>1000</v>
      </c>
      <c r="E82" s="9"/>
      <c r="F82" t="s" s="8">
        <v>10</v>
      </c>
      <c r="G82" t="s" s="33">
        <v>70</v>
      </c>
      <c r="H82" t="s" s="8">
        <v>10</v>
      </c>
      <c r="I82" s="34"/>
      <c r="J82" t="s" s="8">
        <v>10</v>
      </c>
      <c r="K82" s="34"/>
      <c r="L82" t="s" s="8">
        <v>10</v>
      </c>
      <c r="M82" s="34"/>
      <c r="N82" t="s" s="8">
        <v>10</v>
      </c>
      <c r="O82" s="34"/>
      <c r="P82" t="s" s="8">
        <v>10</v>
      </c>
      <c r="Q82" s="34"/>
      <c r="R82" t="s" s="8">
        <v>10</v>
      </c>
      <c r="S82" s="34"/>
      <c r="T82" t="s" s="8">
        <v>10</v>
      </c>
      <c r="U82" s="34"/>
      <c r="V82" t="s" s="8">
        <v>10</v>
      </c>
      <c r="W82" s="34"/>
      <c r="X82" t="s" s="8">
        <v>10</v>
      </c>
      <c r="Y82" t="s" s="33">
        <v>205</v>
      </c>
      <c r="Z82" t="s" s="8">
        <v>10</v>
      </c>
      <c r="AA82" t="s" s="33">
        <v>206</v>
      </c>
      <c r="AB82" t="s" s="8">
        <v>10</v>
      </c>
      <c r="AC82" t="s" s="33">
        <v>206</v>
      </c>
      <c r="AD82" s="131"/>
      <c r="AE82" s="13"/>
      <c r="AF82" s="7"/>
    </row>
    <row r="83" ht="13.75" customHeight="1">
      <c r="A83" s="137"/>
      <c r="B83" t="s" s="8">
        <v>207</v>
      </c>
      <c r="C83" s="9"/>
      <c r="D83" s="9"/>
      <c r="E83" t="s" s="8">
        <v>14</v>
      </c>
      <c r="F83" t="s" s="8">
        <v>6</v>
      </c>
      <c r="G83" s="16">
        <v>2092</v>
      </c>
      <c r="H83" t="s" s="8">
        <v>6</v>
      </c>
      <c r="I83" s="18"/>
      <c r="J83" t="s" s="8">
        <v>6</v>
      </c>
      <c r="K83" s="135"/>
      <c r="L83" t="s" s="8">
        <v>6</v>
      </c>
      <c r="M83" s="18"/>
      <c r="N83" t="s" s="8">
        <v>6</v>
      </c>
      <c r="O83" s="18"/>
      <c r="P83" t="s" s="8">
        <v>6</v>
      </c>
      <c r="Q83" s="18"/>
      <c r="R83" t="s" s="8">
        <v>6</v>
      </c>
      <c r="S83" s="18"/>
      <c r="T83" t="s" s="8">
        <v>6</v>
      </c>
      <c r="U83" s="18"/>
      <c r="V83" t="s" s="8">
        <v>6</v>
      </c>
      <c r="W83" s="18"/>
      <c r="X83" t="s" s="8">
        <v>6</v>
      </c>
      <c r="Y83" s="16">
        <v>1011</v>
      </c>
      <c r="Z83" t="s" s="8">
        <v>6</v>
      </c>
      <c r="AA83" s="16">
        <v>1828</v>
      </c>
      <c r="AB83" t="s" s="8">
        <v>6</v>
      </c>
      <c r="AC83" s="16">
        <v>1828</v>
      </c>
      <c r="AD83" s="131"/>
      <c r="AE83" s="13"/>
      <c r="AF83" s="7"/>
    </row>
    <row r="84" ht="13.55" customHeight="1">
      <c r="A84" s="137"/>
      <c r="B84" t="s" s="8">
        <v>208</v>
      </c>
      <c r="C84" s="9"/>
      <c r="D84" s="9"/>
      <c r="E84" s="9"/>
      <c r="F84" t="s" s="8">
        <v>8</v>
      </c>
      <c r="G84" s="26">
        <v>600</v>
      </c>
      <c r="H84" t="s" s="8">
        <v>8</v>
      </c>
      <c r="I84" s="27"/>
      <c r="J84" t="s" s="8">
        <v>8</v>
      </c>
      <c r="K84" s="135"/>
      <c r="L84" t="s" s="8">
        <v>8</v>
      </c>
      <c r="M84" s="27"/>
      <c r="N84" t="s" s="8">
        <v>8</v>
      </c>
      <c r="O84" s="27"/>
      <c r="P84" t="s" s="8">
        <v>8</v>
      </c>
      <c r="Q84" s="27"/>
      <c r="R84" t="s" s="8">
        <v>8</v>
      </c>
      <c r="S84" s="27"/>
      <c r="T84" t="s" s="8">
        <v>8</v>
      </c>
      <c r="U84" s="27"/>
      <c r="V84" t="s" s="8">
        <v>8</v>
      </c>
      <c r="W84" s="27"/>
      <c r="X84" t="s" s="8">
        <v>8</v>
      </c>
      <c r="Y84" s="26">
        <v>500</v>
      </c>
      <c r="Z84" t="s" s="8">
        <v>8</v>
      </c>
      <c r="AA84" s="26">
        <v>500</v>
      </c>
      <c r="AB84" t="s" s="8">
        <v>8</v>
      </c>
      <c r="AC84" s="26">
        <v>500</v>
      </c>
      <c r="AD84" s="132" cm="1">
        <f t="array" ref="AD84">G84+I84+K84+M84+O84+Q84+S84+U84+W84+Y84+AA84+AC84</f>
        <v>2100</v>
      </c>
      <c r="AE84" s="50" cm="1">
        <f t="array" ref="AE84">500*11</f>
        <v>5500</v>
      </c>
      <c r="AF84" s="51" cm="1">
        <f t="array" ref="AF84">AE84-AD84</f>
        <v>3400</v>
      </c>
    </row>
    <row r="85" ht="13.55" customHeight="1">
      <c r="A85" s="137"/>
      <c r="B85" s="9"/>
      <c r="C85" s="9"/>
      <c r="D85" s="9"/>
      <c r="E85" s="9"/>
      <c r="F85" t="s" s="8">
        <v>10</v>
      </c>
      <c r="G85" t="s" s="33">
        <v>39</v>
      </c>
      <c r="H85" t="s" s="8">
        <v>10</v>
      </c>
      <c r="I85" s="34"/>
      <c r="J85" t="s" s="8">
        <v>10</v>
      </c>
      <c r="K85" s="135"/>
      <c r="L85" t="s" s="8">
        <v>10</v>
      </c>
      <c r="M85" s="34"/>
      <c r="N85" t="s" s="8">
        <v>10</v>
      </c>
      <c r="O85" s="34"/>
      <c r="P85" t="s" s="8">
        <v>10</v>
      </c>
      <c r="Q85" s="34"/>
      <c r="R85" t="s" s="8">
        <v>10</v>
      </c>
      <c r="S85" s="34"/>
      <c r="T85" t="s" s="8">
        <v>10</v>
      </c>
      <c r="U85" s="34"/>
      <c r="V85" t="s" s="8">
        <v>10</v>
      </c>
      <c r="W85" s="34"/>
      <c r="X85" t="s" s="8">
        <v>10</v>
      </c>
      <c r="Y85" t="s" s="33">
        <v>205</v>
      </c>
      <c r="Z85" t="s" s="8">
        <v>10</v>
      </c>
      <c r="AA85" t="s" s="33">
        <v>206</v>
      </c>
      <c r="AB85" t="s" s="8">
        <v>10</v>
      </c>
      <c r="AC85" t="s" s="33">
        <v>206</v>
      </c>
      <c r="AD85" s="131"/>
      <c r="AE85" s="13"/>
      <c r="AF85" s="7"/>
    </row>
    <row r="86" ht="13.55" customHeight="1">
      <c r="A86" s="9"/>
      <c r="B86" s="9"/>
      <c r="C86" s="9"/>
      <c r="D86" s="9"/>
      <c r="E86" s="9"/>
      <c r="F86" s="9"/>
      <c r="G86" s="27"/>
      <c r="H86" s="9"/>
      <c r="I86" s="27"/>
      <c r="J86" s="9"/>
      <c r="K86" s="2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31"/>
      <c r="AE86" s="13"/>
      <c r="AF86" s="7"/>
    </row>
    <row r="87" ht="13.75" customHeight="1">
      <c r="A87" s="136">
        <v>13</v>
      </c>
      <c r="B87" t="s" s="130">
        <v>209</v>
      </c>
      <c r="C87" s="9"/>
      <c r="D87" s="9"/>
      <c r="E87" t="s" s="8">
        <v>5</v>
      </c>
      <c r="F87" t="s" s="8">
        <v>6</v>
      </c>
      <c r="G87" s="16">
        <v>1174</v>
      </c>
      <c r="H87" t="s" s="8">
        <v>6</v>
      </c>
      <c r="I87" s="18"/>
      <c r="J87" t="s" s="8">
        <v>6</v>
      </c>
      <c r="K87" s="18"/>
      <c r="L87" t="s" s="8">
        <v>6</v>
      </c>
      <c r="M87" s="18"/>
      <c r="N87" t="s" s="8">
        <v>6</v>
      </c>
      <c r="O87" s="18"/>
      <c r="P87" t="s" s="8">
        <v>6</v>
      </c>
      <c r="Q87" s="18"/>
      <c r="R87" t="s" s="8">
        <v>6</v>
      </c>
      <c r="S87" s="18"/>
      <c r="T87" t="s" s="8">
        <v>6</v>
      </c>
      <c r="U87" s="18"/>
      <c r="V87" t="s" s="8">
        <v>6</v>
      </c>
      <c r="W87" s="18"/>
      <c r="X87" t="s" s="8">
        <v>6</v>
      </c>
      <c r="Y87" s="16">
        <v>2375</v>
      </c>
      <c r="Z87" t="s" s="8">
        <v>6</v>
      </c>
      <c r="AA87" s="16">
        <v>2977</v>
      </c>
      <c r="AB87" t="s" s="8">
        <v>6</v>
      </c>
      <c r="AC87" s="16">
        <v>2977</v>
      </c>
      <c r="AD87" s="131"/>
      <c r="AE87" s="13"/>
      <c r="AF87" s="7"/>
    </row>
    <row r="88" ht="13.55" customHeight="1">
      <c r="A88" s="137"/>
      <c r="B88" s="9"/>
      <c r="C88" s="42"/>
      <c r="D88" s="42"/>
      <c r="E88" s="9"/>
      <c r="F88" t="s" s="8">
        <v>8</v>
      </c>
      <c r="G88" s="26">
        <v>900</v>
      </c>
      <c r="H88" t="s" s="8">
        <v>8</v>
      </c>
      <c r="I88" s="27"/>
      <c r="J88" t="s" s="8">
        <v>8</v>
      </c>
      <c r="K88" s="27"/>
      <c r="L88" t="s" s="8">
        <v>8</v>
      </c>
      <c r="M88" s="27"/>
      <c r="N88" t="s" s="8">
        <v>8</v>
      </c>
      <c r="O88" s="27"/>
      <c r="P88" t="s" s="8">
        <v>8</v>
      </c>
      <c r="Q88" s="27"/>
      <c r="R88" t="s" s="8">
        <v>8</v>
      </c>
      <c r="S88" s="27"/>
      <c r="T88" t="s" s="8">
        <v>8</v>
      </c>
      <c r="U88" s="27"/>
      <c r="V88" t="s" s="8">
        <v>8</v>
      </c>
      <c r="W88" s="27"/>
      <c r="X88" t="s" s="8">
        <v>8</v>
      </c>
      <c r="Y88" s="26">
        <v>850</v>
      </c>
      <c r="Z88" t="s" s="8">
        <v>8</v>
      </c>
      <c r="AA88" s="26">
        <v>850</v>
      </c>
      <c r="AB88" t="s" s="8">
        <v>8</v>
      </c>
      <c r="AC88" s="26">
        <v>850</v>
      </c>
      <c r="AD88" s="132" cm="1">
        <f t="array" ref="AD88">G88+I88+K88+M88+O88+Q88+S88+U88+W88+Y88+AA88+AC88</f>
        <v>3450</v>
      </c>
      <c r="AE88" s="50" cm="1">
        <f t="array" ref="AE88">850*12</f>
        <v>10200</v>
      </c>
      <c r="AF88" s="51" cm="1">
        <f t="array" ref="AF88">AE88-AD88</f>
        <v>6750</v>
      </c>
    </row>
    <row r="89" ht="13.55" customHeight="1">
      <c r="A89" s="137"/>
      <c r="B89" s="9"/>
      <c r="C89" t="s" s="8">
        <v>9</v>
      </c>
      <c r="D89" s="25">
        <v>1000</v>
      </c>
      <c r="E89" s="9"/>
      <c r="F89" t="s" s="8">
        <v>10</v>
      </c>
      <c r="G89" t="s" s="33">
        <v>70</v>
      </c>
      <c r="H89" t="s" s="8">
        <v>10</v>
      </c>
      <c r="I89" s="34"/>
      <c r="J89" t="s" s="8">
        <v>10</v>
      </c>
      <c r="K89" s="34"/>
      <c r="L89" t="s" s="8">
        <v>10</v>
      </c>
      <c r="M89" s="34"/>
      <c r="N89" t="s" s="8">
        <v>10</v>
      </c>
      <c r="O89" s="34"/>
      <c r="P89" t="s" s="8">
        <v>10</v>
      </c>
      <c r="Q89" s="34"/>
      <c r="R89" t="s" s="8">
        <v>10</v>
      </c>
      <c r="S89" s="34"/>
      <c r="T89" t="s" s="8">
        <v>10</v>
      </c>
      <c r="U89" s="34"/>
      <c r="V89" t="s" s="8">
        <v>10</v>
      </c>
      <c r="W89" s="34"/>
      <c r="X89" t="s" s="8">
        <v>10</v>
      </c>
      <c r="Y89" t="s" s="33">
        <v>205</v>
      </c>
      <c r="Z89" t="s" s="8">
        <v>10</v>
      </c>
      <c r="AA89" t="s" s="33">
        <v>206</v>
      </c>
      <c r="AB89" t="s" s="8">
        <v>10</v>
      </c>
      <c r="AC89" t="s" s="33">
        <v>206</v>
      </c>
      <c r="AD89" s="131"/>
      <c r="AE89" s="13"/>
      <c r="AF89" s="7"/>
    </row>
    <row r="90" ht="13.75" customHeight="1">
      <c r="A90" s="137"/>
      <c r="B90" t="s" s="8">
        <v>207</v>
      </c>
      <c r="C90" s="9"/>
      <c r="D90" s="9"/>
      <c r="E90" t="s" s="8">
        <v>14</v>
      </c>
      <c r="F90" t="s" s="8">
        <v>6</v>
      </c>
      <c r="G90" s="16">
        <v>2093</v>
      </c>
      <c r="H90" t="s" s="8">
        <v>6</v>
      </c>
      <c r="I90" s="18"/>
      <c r="J90" t="s" s="8">
        <v>6</v>
      </c>
      <c r="K90" s="135"/>
      <c r="L90" t="s" s="8">
        <v>6</v>
      </c>
      <c r="M90" s="18"/>
      <c r="N90" t="s" s="8">
        <v>6</v>
      </c>
      <c r="O90" s="18"/>
      <c r="P90" t="s" s="8">
        <v>6</v>
      </c>
      <c r="Q90" s="18"/>
      <c r="R90" t="s" s="8">
        <v>6</v>
      </c>
      <c r="S90" s="18"/>
      <c r="T90" t="s" s="8">
        <v>6</v>
      </c>
      <c r="U90" s="18"/>
      <c r="V90" t="s" s="8">
        <v>6</v>
      </c>
      <c r="W90" s="18"/>
      <c r="X90" t="s" s="8">
        <v>6</v>
      </c>
      <c r="Y90" s="16">
        <v>1012</v>
      </c>
      <c r="Z90" t="s" s="8">
        <v>6</v>
      </c>
      <c r="AA90" s="16">
        <v>1829</v>
      </c>
      <c r="AB90" t="s" s="8">
        <v>6</v>
      </c>
      <c r="AC90" s="16">
        <v>1829</v>
      </c>
      <c r="AD90" s="131"/>
      <c r="AE90" s="13"/>
      <c r="AF90" s="7"/>
    </row>
    <row r="91" ht="13.55" customHeight="1">
      <c r="A91" s="137"/>
      <c r="B91" t="s" s="8">
        <v>208</v>
      </c>
      <c r="C91" s="9"/>
      <c r="D91" s="9"/>
      <c r="E91" s="9"/>
      <c r="F91" t="s" s="8">
        <v>8</v>
      </c>
      <c r="G91" s="26">
        <v>600</v>
      </c>
      <c r="H91" t="s" s="8">
        <v>8</v>
      </c>
      <c r="I91" s="27"/>
      <c r="J91" t="s" s="8">
        <v>8</v>
      </c>
      <c r="K91" s="135"/>
      <c r="L91" t="s" s="8">
        <v>8</v>
      </c>
      <c r="M91" s="27"/>
      <c r="N91" t="s" s="8">
        <v>8</v>
      </c>
      <c r="O91" s="27"/>
      <c r="P91" t="s" s="8">
        <v>8</v>
      </c>
      <c r="Q91" s="27"/>
      <c r="R91" t="s" s="8">
        <v>8</v>
      </c>
      <c r="S91" s="27"/>
      <c r="T91" t="s" s="8">
        <v>8</v>
      </c>
      <c r="U91" s="27"/>
      <c r="V91" t="s" s="8">
        <v>8</v>
      </c>
      <c r="W91" s="27"/>
      <c r="X91" t="s" s="8">
        <v>8</v>
      </c>
      <c r="Y91" s="26">
        <v>500</v>
      </c>
      <c r="Z91" t="s" s="8">
        <v>8</v>
      </c>
      <c r="AA91" s="26">
        <v>500</v>
      </c>
      <c r="AB91" t="s" s="8">
        <v>8</v>
      </c>
      <c r="AC91" s="26">
        <v>500</v>
      </c>
      <c r="AD91" s="132" cm="1">
        <f t="array" ref="AD91">G91+I91+K91+M91+O91+Q91+S91+U91+W91+Y91+AA91+AC91</f>
        <v>2100</v>
      </c>
      <c r="AE91" s="50" cm="1">
        <f t="array" ref="AE91">500*11</f>
        <v>5500</v>
      </c>
      <c r="AF91" s="51" cm="1">
        <f t="array" ref="AF91">AE91-AD91</f>
        <v>3400</v>
      </c>
    </row>
    <row r="92" ht="13.55" customHeight="1">
      <c r="A92" s="137"/>
      <c r="B92" s="23"/>
      <c r="C92" s="9"/>
      <c r="D92" s="9"/>
      <c r="E92" s="9"/>
      <c r="F92" t="s" s="8">
        <v>10</v>
      </c>
      <c r="G92" t="s" s="33">
        <v>39</v>
      </c>
      <c r="H92" t="s" s="8">
        <v>10</v>
      </c>
      <c r="I92" s="34"/>
      <c r="J92" t="s" s="8">
        <v>10</v>
      </c>
      <c r="K92" s="135"/>
      <c r="L92" t="s" s="8">
        <v>10</v>
      </c>
      <c r="M92" s="34"/>
      <c r="N92" t="s" s="8">
        <v>10</v>
      </c>
      <c r="O92" s="34"/>
      <c r="P92" t="s" s="8">
        <v>10</v>
      </c>
      <c r="Q92" s="34"/>
      <c r="R92" t="s" s="8">
        <v>10</v>
      </c>
      <c r="S92" s="34"/>
      <c r="T92" t="s" s="8">
        <v>10</v>
      </c>
      <c r="U92" s="34"/>
      <c r="V92" t="s" s="8">
        <v>10</v>
      </c>
      <c r="W92" s="34"/>
      <c r="X92" t="s" s="8">
        <v>10</v>
      </c>
      <c r="Y92" t="s" s="33">
        <v>205</v>
      </c>
      <c r="Z92" t="s" s="8">
        <v>10</v>
      </c>
      <c r="AA92" t="s" s="33">
        <v>206</v>
      </c>
      <c r="AB92" t="s" s="8">
        <v>10</v>
      </c>
      <c r="AC92" t="s" s="33">
        <v>206</v>
      </c>
      <c r="AD92" s="131"/>
      <c r="AE92" s="13"/>
      <c r="AF92" s="7"/>
    </row>
    <row r="93" ht="13.55" customHeight="1">
      <c r="A93" s="9"/>
      <c r="B93" s="9"/>
      <c r="C93" s="9"/>
      <c r="D93" s="9"/>
      <c r="E93" s="9"/>
      <c r="F93" s="9"/>
      <c r="G93" s="27"/>
      <c r="H93" s="9"/>
      <c r="I93" s="27"/>
      <c r="J93" s="9"/>
      <c r="K93" s="2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31"/>
      <c r="AE93" s="13"/>
      <c r="AF93" s="7"/>
    </row>
    <row r="94" ht="13.75" customHeight="1">
      <c r="A94" s="136">
        <v>14</v>
      </c>
      <c r="B94" t="s" s="130">
        <v>210</v>
      </c>
      <c r="C94" s="9"/>
      <c r="D94" s="9"/>
      <c r="E94" t="s" s="8">
        <v>5</v>
      </c>
      <c r="F94" t="s" s="8">
        <v>6</v>
      </c>
      <c r="G94" s="16">
        <v>1114</v>
      </c>
      <c r="H94" t="s" s="8">
        <v>6</v>
      </c>
      <c r="I94" s="16">
        <v>3188</v>
      </c>
      <c r="J94" t="s" s="8">
        <v>6</v>
      </c>
      <c r="K94" s="18"/>
      <c r="L94" t="s" s="8">
        <v>6</v>
      </c>
      <c r="M94" s="18"/>
      <c r="N94" t="s" s="8">
        <v>6</v>
      </c>
      <c r="O94" s="18"/>
      <c r="P94" t="s" s="8">
        <v>6</v>
      </c>
      <c r="Q94" s="18"/>
      <c r="R94" t="s" s="8">
        <v>6</v>
      </c>
      <c r="S94" s="18"/>
      <c r="T94" t="s" s="8">
        <v>6</v>
      </c>
      <c r="U94" s="18"/>
      <c r="V94" t="s" s="8">
        <v>6</v>
      </c>
      <c r="W94" s="18"/>
      <c r="X94" t="s" s="8">
        <v>6</v>
      </c>
      <c r="Y94" s="16">
        <v>2422</v>
      </c>
      <c r="Z94" t="s" s="8">
        <v>6</v>
      </c>
      <c r="AA94" s="16">
        <v>2934</v>
      </c>
      <c r="AB94" t="s" s="8">
        <v>6</v>
      </c>
      <c r="AC94" s="16">
        <v>2934</v>
      </c>
      <c r="AD94" s="131"/>
      <c r="AE94" s="13"/>
      <c r="AF94" s="7"/>
    </row>
    <row r="95" ht="13.55" customHeight="1">
      <c r="A95" s="137"/>
      <c r="B95" s="23"/>
      <c r="C95" s="42"/>
      <c r="D95" s="42"/>
      <c r="E95" s="9"/>
      <c r="F95" t="s" s="8">
        <v>8</v>
      </c>
      <c r="G95" s="26">
        <v>450</v>
      </c>
      <c r="H95" t="s" s="8">
        <v>8</v>
      </c>
      <c r="I95" s="26">
        <v>450</v>
      </c>
      <c r="J95" t="s" s="8">
        <v>8</v>
      </c>
      <c r="K95" s="27"/>
      <c r="L95" t="s" s="8">
        <v>8</v>
      </c>
      <c r="M95" s="27"/>
      <c r="N95" t="s" s="8">
        <v>8</v>
      </c>
      <c r="O95" s="27"/>
      <c r="P95" t="s" s="8">
        <v>8</v>
      </c>
      <c r="Q95" s="27"/>
      <c r="R95" t="s" s="8">
        <v>8</v>
      </c>
      <c r="S95" s="27"/>
      <c r="T95" t="s" s="8">
        <v>8</v>
      </c>
      <c r="U95" s="27"/>
      <c r="V95" t="s" s="8">
        <v>8</v>
      </c>
      <c r="W95" s="27"/>
      <c r="X95" t="s" s="8">
        <v>8</v>
      </c>
      <c r="Y95" s="26">
        <v>425</v>
      </c>
      <c r="Z95" t="s" s="8">
        <v>8</v>
      </c>
      <c r="AA95" s="26">
        <v>425</v>
      </c>
      <c r="AB95" t="s" s="8">
        <v>8</v>
      </c>
      <c r="AC95" s="26">
        <v>425</v>
      </c>
      <c r="AD95" s="132" cm="1">
        <f t="array" ref="AD95">G95+I95+K95+M95+O95+Q95+S95+U95+W95+Y95+AA95+AC95</f>
        <v>2175</v>
      </c>
      <c r="AE95" s="50" cm="1">
        <f t="array" ref="AE95">425*12</f>
        <v>5100</v>
      </c>
      <c r="AF95" s="51" cm="1">
        <f t="array" ref="AF95">AE95-AD95</f>
        <v>2925</v>
      </c>
    </row>
    <row r="96" ht="13.55" customHeight="1">
      <c r="A96" s="137"/>
      <c r="B96" t="s" s="144">
        <v>60</v>
      </c>
      <c r="C96" t="s" s="8">
        <v>9</v>
      </c>
      <c r="D96" s="25">
        <v>1000</v>
      </c>
      <c r="E96" s="9"/>
      <c r="F96" t="s" s="8">
        <v>10</v>
      </c>
      <c r="G96" t="s" s="33">
        <v>93</v>
      </c>
      <c r="H96" t="s" s="8">
        <v>10</v>
      </c>
      <c r="I96" t="s" s="33">
        <v>24</v>
      </c>
      <c r="J96" t="s" s="8">
        <v>10</v>
      </c>
      <c r="K96" s="34"/>
      <c r="L96" t="s" s="8">
        <v>10</v>
      </c>
      <c r="M96" s="34"/>
      <c r="N96" t="s" s="8">
        <v>10</v>
      </c>
      <c r="O96" s="34"/>
      <c r="P96" t="s" s="8">
        <v>10</v>
      </c>
      <c r="Q96" s="34"/>
      <c r="R96" t="s" s="8">
        <v>10</v>
      </c>
      <c r="S96" s="34"/>
      <c r="T96" t="s" s="8">
        <v>10</v>
      </c>
      <c r="U96" s="34"/>
      <c r="V96" t="s" s="8">
        <v>10</v>
      </c>
      <c r="W96" s="34"/>
      <c r="X96" t="s" s="8">
        <v>10</v>
      </c>
      <c r="Y96" t="s" s="33">
        <v>193</v>
      </c>
      <c r="Z96" t="s" s="8">
        <v>10</v>
      </c>
      <c r="AA96" t="s" s="33">
        <v>186</v>
      </c>
      <c r="AB96" t="s" s="8">
        <v>10</v>
      </c>
      <c r="AC96" t="s" s="33">
        <v>186</v>
      </c>
      <c r="AD96" s="131"/>
      <c r="AE96" s="13"/>
      <c r="AF96" s="7"/>
    </row>
    <row r="97" ht="13.75" customHeight="1">
      <c r="A97" s="137"/>
      <c r="B97" t="s" s="8">
        <v>211</v>
      </c>
      <c r="C97" s="9"/>
      <c r="D97" s="9"/>
      <c r="E97" t="s" s="8">
        <v>14</v>
      </c>
      <c r="F97" t="s" s="8">
        <v>6</v>
      </c>
      <c r="G97" s="16">
        <v>2041</v>
      </c>
      <c r="H97" t="s" s="8">
        <v>6</v>
      </c>
      <c r="I97" s="16">
        <v>2168</v>
      </c>
      <c r="J97" t="s" s="8">
        <v>6</v>
      </c>
      <c r="K97" s="40"/>
      <c r="L97" t="s" s="8">
        <v>6</v>
      </c>
      <c r="M97" s="131"/>
      <c r="N97" t="s" s="8">
        <v>6</v>
      </c>
      <c r="O97" s="131"/>
      <c r="P97" t="s" s="8">
        <v>6</v>
      </c>
      <c r="Q97" s="131"/>
      <c r="R97" t="s" s="8">
        <v>6</v>
      </c>
      <c r="S97" s="18"/>
      <c r="T97" t="s" s="8">
        <v>6</v>
      </c>
      <c r="U97" s="18"/>
      <c r="V97" t="s" s="8">
        <v>6</v>
      </c>
      <c r="W97" s="18"/>
      <c r="X97" t="s" s="8">
        <v>6</v>
      </c>
      <c r="Y97" s="16">
        <v>1050</v>
      </c>
      <c r="Z97" t="s" s="8">
        <v>6</v>
      </c>
      <c r="AA97" s="16">
        <v>1791</v>
      </c>
      <c r="AB97" t="s" s="8">
        <v>6</v>
      </c>
      <c r="AC97" s="16">
        <v>1791</v>
      </c>
      <c r="AD97" s="131"/>
      <c r="AE97" s="13"/>
      <c r="AF97" s="7"/>
    </row>
    <row r="98" ht="13.55" customHeight="1">
      <c r="A98" s="137"/>
      <c r="B98" t="s" s="8">
        <v>212</v>
      </c>
      <c r="C98" s="9"/>
      <c r="D98" s="9"/>
      <c r="E98" s="9"/>
      <c r="F98" t="s" s="8">
        <v>8</v>
      </c>
      <c r="G98" s="26">
        <v>600</v>
      </c>
      <c r="H98" t="s" s="8">
        <v>8</v>
      </c>
      <c r="I98" s="26">
        <v>600</v>
      </c>
      <c r="J98" t="s" s="8">
        <v>8</v>
      </c>
      <c r="K98" s="41"/>
      <c r="L98" t="s" s="8">
        <v>8</v>
      </c>
      <c r="M98" s="27"/>
      <c r="N98" t="s" s="8">
        <v>8</v>
      </c>
      <c r="O98" s="27"/>
      <c r="P98" t="s" s="8">
        <v>8</v>
      </c>
      <c r="Q98" s="27"/>
      <c r="R98" t="s" s="8">
        <v>8</v>
      </c>
      <c r="S98" s="27"/>
      <c r="T98" t="s" s="8">
        <v>8</v>
      </c>
      <c r="U98" s="27"/>
      <c r="V98" t="s" s="8">
        <v>8</v>
      </c>
      <c r="W98" s="27"/>
      <c r="X98" t="s" s="8">
        <v>8</v>
      </c>
      <c r="Y98" s="26">
        <v>500</v>
      </c>
      <c r="Z98" t="s" s="8">
        <v>8</v>
      </c>
      <c r="AA98" s="26">
        <v>500</v>
      </c>
      <c r="AB98" t="s" s="8">
        <v>8</v>
      </c>
      <c r="AC98" s="26">
        <v>500</v>
      </c>
      <c r="AD98" s="131" cm="1">
        <f t="array" ref="AD98">G98+I98+K98+M98+O98+Q98+S98+U98+W98+Y98+AA98+AC98</f>
      </c>
      <c r="AE98" s="50" cm="1">
        <f t="array" ref="AE98">500*11</f>
        <v>5500</v>
      </c>
      <c r="AF98" s="7" cm="1">
        <f t="array" ref="AF98">AE98-AD98</f>
      </c>
    </row>
    <row r="99" ht="13.55" customHeight="1">
      <c r="A99" s="137"/>
      <c r="B99" s="9"/>
      <c r="C99" s="9"/>
      <c r="D99" s="9"/>
      <c r="E99" s="9"/>
      <c r="F99" t="s" s="8">
        <v>10</v>
      </c>
      <c r="G99" t="s" s="33">
        <v>93</v>
      </c>
      <c r="H99" t="s" s="8">
        <v>10</v>
      </c>
      <c r="I99" t="s" s="33">
        <v>24</v>
      </c>
      <c r="J99" t="s" s="8">
        <v>10</v>
      </c>
      <c r="K99" s="45"/>
      <c r="L99" t="s" s="8">
        <v>10</v>
      </c>
      <c r="M99" s="34"/>
      <c r="N99" t="s" s="8">
        <v>10</v>
      </c>
      <c r="O99" s="34"/>
      <c r="P99" t="s" s="8">
        <v>10</v>
      </c>
      <c r="Q99" s="34"/>
      <c r="R99" t="s" s="8">
        <v>10</v>
      </c>
      <c r="S99" s="34"/>
      <c r="T99" t="s" s="8">
        <v>10</v>
      </c>
      <c r="U99" s="34"/>
      <c r="V99" t="s" s="8">
        <v>10</v>
      </c>
      <c r="W99" s="34"/>
      <c r="X99" t="s" s="8">
        <v>10</v>
      </c>
      <c r="Y99" t="s" s="33">
        <v>193</v>
      </c>
      <c r="Z99" t="s" s="8">
        <v>10</v>
      </c>
      <c r="AA99" t="s" s="33">
        <v>186</v>
      </c>
      <c r="AB99" t="s" s="8">
        <v>10</v>
      </c>
      <c r="AC99" t="s" s="33">
        <v>186</v>
      </c>
      <c r="AD99" s="131"/>
      <c r="AE99" s="13"/>
      <c r="AF99" s="7"/>
    </row>
    <row r="100" ht="13.55" customHeight="1">
      <c r="A100" s="9"/>
      <c r="B100" s="9"/>
      <c r="C100" s="9"/>
      <c r="D100" s="9"/>
      <c r="E100" s="9"/>
      <c r="F100" s="9"/>
      <c r="G100" s="9"/>
      <c r="H100" s="9"/>
      <c r="I100" s="2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31"/>
      <c r="AE100" s="13"/>
      <c r="AF100" s="7"/>
    </row>
    <row r="101" ht="13.75" customHeight="1">
      <c r="A101" s="136">
        <v>15</v>
      </c>
      <c r="B101" t="s" s="130">
        <v>213</v>
      </c>
      <c r="C101" s="9"/>
      <c r="D101" s="9"/>
      <c r="E101" t="s" s="8">
        <v>5</v>
      </c>
      <c r="F101" t="s" s="8">
        <v>6</v>
      </c>
      <c r="G101" s="16">
        <v>1074</v>
      </c>
      <c r="H101" t="s" s="8">
        <v>6</v>
      </c>
      <c r="I101" s="16">
        <v>3204</v>
      </c>
      <c r="J101" t="s" s="8">
        <v>6</v>
      </c>
      <c r="K101" s="16">
        <v>3279</v>
      </c>
      <c r="L101" t="s" s="8">
        <v>6</v>
      </c>
      <c r="M101" s="18"/>
      <c r="N101" t="s" s="8">
        <v>6</v>
      </c>
      <c r="O101" s="18"/>
      <c r="P101" t="s" s="8">
        <v>6</v>
      </c>
      <c r="Q101" s="18"/>
      <c r="R101" t="s" s="8">
        <v>6</v>
      </c>
      <c r="S101" s="18"/>
      <c r="T101" t="s" s="8">
        <v>6</v>
      </c>
      <c r="U101" s="18"/>
      <c r="V101" t="s" s="8">
        <v>6</v>
      </c>
      <c r="W101" s="18"/>
      <c r="X101" t="s" s="8">
        <v>6</v>
      </c>
      <c r="Y101" s="16">
        <v>2426</v>
      </c>
      <c r="Z101" t="s" s="8">
        <v>6</v>
      </c>
      <c r="AA101" s="16">
        <v>2970</v>
      </c>
      <c r="AB101" t="s" s="8">
        <v>6</v>
      </c>
      <c r="AC101" s="16">
        <v>3008</v>
      </c>
      <c r="AD101" s="131"/>
      <c r="AE101" s="13"/>
      <c r="AF101" s="7"/>
    </row>
    <row r="102" ht="13.55" customHeight="1">
      <c r="A102" s="137"/>
      <c r="B102" s="9"/>
      <c r="C102" s="42"/>
      <c r="D102" s="42"/>
      <c r="E102" s="9"/>
      <c r="F102" t="s" s="8">
        <v>8</v>
      </c>
      <c r="G102" s="26">
        <v>900</v>
      </c>
      <c r="H102" t="s" s="8">
        <v>8</v>
      </c>
      <c r="I102" s="26">
        <v>900</v>
      </c>
      <c r="J102" t="s" s="8">
        <v>8</v>
      </c>
      <c r="K102" s="26">
        <v>900</v>
      </c>
      <c r="L102" t="s" s="8">
        <v>8</v>
      </c>
      <c r="M102" s="27"/>
      <c r="N102" t="s" s="8">
        <v>8</v>
      </c>
      <c r="O102" s="27"/>
      <c r="P102" t="s" s="8">
        <v>8</v>
      </c>
      <c r="Q102" s="27"/>
      <c r="R102" t="s" s="8">
        <v>8</v>
      </c>
      <c r="S102" s="27"/>
      <c r="T102" t="s" s="8">
        <v>8</v>
      </c>
      <c r="U102" s="27"/>
      <c r="V102" t="s" s="8">
        <v>8</v>
      </c>
      <c r="W102" s="27"/>
      <c r="X102" t="s" s="8">
        <v>8</v>
      </c>
      <c r="Y102" s="26">
        <v>850</v>
      </c>
      <c r="Z102" t="s" s="8">
        <v>8</v>
      </c>
      <c r="AA102" s="26">
        <v>850</v>
      </c>
      <c r="AB102" t="s" s="8">
        <v>8</v>
      </c>
      <c r="AC102" s="26">
        <v>850</v>
      </c>
      <c r="AD102" s="132" cm="1">
        <f t="array" ref="AD102">G102+I102+K102+M102+O102+Q102+S102+U102+W102+Y102+AA102+AC102</f>
        <v>5250</v>
      </c>
      <c r="AE102" s="50" cm="1">
        <f t="array" ref="AE102">850*12</f>
        <v>10200</v>
      </c>
      <c r="AF102" s="51" cm="1">
        <f t="array" ref="AF102">AE102-AD102</f>
        <v>4950</v>
      </c>
    </row>
    <row r="103" ht="13.55" customHeight="1">
      <c r="A103" s="137"/>
      <c r="B103" s="9"/>
      <c r="C103" t="s" s="8">
        <v>9</v>
      </c>
      <c r="D103" s="25">
        <v>1000</v>
      </c>
      <c r="E103" s="9"/>
      <c r="F103" t="s" s="8">
        <v>10</v>
      </c>
      <c r="G103" t="s" s="33">
        <v>17</v>
      </c>
      <c r="H103" t="s" s="8">
        <v>10</v>
      </c>
      <c r="I103" t="s" s="33">
        <v>24</v>
      </c>
      <c r="J103" t="s" s="8">
        <v>10</v>
      </c>
      <c r="K103" t="s" s="33">
        <v>214</v>
      </c>
      <c r="L103" t="s" s="8">
        <v>10</v>
      </c>
      <c r="M103" s="34"/>
      <c r="N103" t="s" s="8">
        <v>10</v>
      </c>
      <c r="O103" s="34"/>
      <c r="P103" t="s" s="8">
        <v>10</v>
      </c>
      <c r="Q103" s="34"/>
      <c r="R103" t="s" s="8">
        <v>10</v>
      </c>
      <c r="S103" s="34"/>
      <c r="T103" t="s" s="8">
        <v>10</v>
      </c>
      <c r="U103" s="34"/>
      <c r="V103" t="s" s="8">
        <v>10</v>
      </c>
      <c r="W103" s="34"/>
      <c r="X103" t="s" s="8">
        <v>10</v>
      </c>
      <c r="Y103" t="s" s="33">
        <v>170</v>
      </c>
      <c r="Z103" t="s" s="8">
        <v>10</v>
      </c>
      <c r="AA103" t="s" s="33">
        <v>215</v>
      </c>
      <c r="AB103" t="s" s="8">
        <v>10</v>
      </c>
      <c r="AC103" t="s" s="33">
        <v>216</v>
      </c>
      <c r="AD103" s="131"/>
      <c r="AE103" s="13"/>
      <c r="AF103" s="7"/>
    </row>
    <row r="104" ht="13.75" customHeight="1">
      <c r="A104" s="137"/>
      <c r="B104" t="s" s="8">
        <v>217</v>
      </c>
      <c r="C104" s="9"/>
      <c r="D104" s="9"/>
      <c r="E104" t="s" s="8">
        <v>14</v>
      </c>
      <c r="F104" t="s" s="8">
        <v>6</v>
      </c>
      <c r="G104" s="16">
        <v>2014</v>
      </c>
      <c r="H104" t="s" s="8">
        <v>6</v>
      </c>
      <c r="I104" s="16">
        <v>2178</v>
      </c>
      <c r="J104" t="s" s="8">
        <v>6</v>
      </c>
      <c r="K104" s="40"/>
      <c r="L104" t="s" s="8">
        <v>6</v>
      </c>
      <c r="M104" s="18"/>
      <c r="N104" t="s" s="8">
        <v>6</v>
      </c>
      <c r="O104" s="18"/>
      <c r="P104" t="s" s="8">
        <v>6</v>
      </c>
      <c r="Q104" s="18"/>
      <c r="R104" t="s" s="8">
        <v>6</v>
      </c>
      <c r="S104" s="18"/>
      <c r="T104" t="s" s="8">
        <v>6</v>
      </c>
      <c r="U104" s="18"/>
      <c r="V104" t="s" s="8">
        <v>6</v>
      </c>
      <c r="W104" s="18"/>
      <c r="X104" t="s" s="8">
        <v>6</v>
      </c>
      <c r="Y104" s="16">
        <v>1704</v>
      </c>
      <c r="Z104" t="s" s="8">
        <v>6</v>
      </c>
      <c r="AA104" s="16">
        <v>1822</v>
      </c>
      <c r="AB104" t="s" s="8">
        <v>6</v>
      </c>
      <c r="AC104" s="16">
        <v>1851</v>
      </c>
      <c r="AD104" s="131"/>
      <c r="AE104" s="13"/>
      <c r="AF104" s="7"/>
    </row>
    <row r="105" ht="13.55" customHeight="1">
      <c r="A105" s="137"/>
      <c r="B105" t="s" s="8">
        <v>218</v>
      </c>
      <c r="C105" s="9"/>
      <c r="D105" s="9"/>
      <c r="E105" s="9"/>
      <c r="F105" t="s" s="8">
        <v>8</v>
      </c>
      <c r="G105" s="26">
        <v>600</v>
      </c>
      <c r="H105" t="s" s="8">
        <v>8</v>
      </c>
      <c r="I105" s="26">
        <v>600</v>
      </c>
      <c r="J105" t="s" s="8">
        <v>8</v>
      </c>
      <c r="K105" s="41"/>
      <c r="L105" t="s" s="8">
        <v>8</v>
      </c>
      <c r="M105" s="27"/>
      <c r="N105" t="s" s="8">
        <v>8</v>
      </c>
      <c r="O105" s="27"/>
      <c r="P105" t="s" s="8">
        <v>8</v>
      </c>
      <c r="Q105" s="27"/>
      <c r="R105" t="s" s="8">
        <v>8</v>
      </c>
      <c r="S105" s="27"/>
      <c r="T105" t="s" s="8">
        <v>8</v>
      </c>
      <c r="U105" s="27"/>
      <c r="V105" t="s" s="8">
        <v>8</v>
      </c>
      <c r="W105" s="27"/>
      <c r="X105" t="s" s="8">
        <v>8</v>
      </c>
      <c r="Y105" s="26">
        <v>500</v>
      </c>
      <c r="Z105" t="s" s="8">
        <v>8</v>
      </c>
      <c r="AA105" s="26">
        <v>500</v>
      </c>
      <c r="AB105" t="s" s="8">
        <v>8</v>
      </c>
      <c r="AC105" s="26">
        <v>500</v>
      </c>
      <c r="AD105" s="131" cm="1">
        <f t="array" ref="AD105">G105+I105+K105+M105+O105+Q105+S105+U105+W105+Y105+AA105+AC105</f>
      </c>
      <c r="AE105" s="50" cm="1">
        <f t="array" ref="AE105">500*11</f>
        <v>5500</v>
      </c>
      <c r="AF105" s="7" cm="1">
        <f t="array" ref="AF105">AE105-AD105</f>
      </c>
    </row>
    <row r="106" ht="13.55" customHeight="1">
      <c r="A106" s="137"/>
      <c r="B106" s="23"/>
      <c r="C106" s="9"/>
      <c r="D106" s="9"/>
      <c r="E106" s="9"/>
      <c r="F106" t="s" s="8">
        <v>10</v>
      </c>
      <c r="G106" t="s" s="33">
        <v>17</v>
      </c>
      <c r="H106" t="s" s="8">
        <v>10</v>
      </c>
      <c r="I106" t="s" s="33">
        <v>24</v>
      </c>
      <c r="J106" t="s" s="8">
        <v>10</v>
      </c>
      <c r="K106" s="45"/>
      <c r="L106" t="s" s="8">
        <v>10</v>
      </c>
      <c r="M106" s="34"/>
      <c r="N106" t="s" s="8">
        <v>10</v>
      </c>
      <c r="O106" s="34"/>
      <c r="P106" t="s" s="8">
        <v>10</v>
      </c>
      <c r="Q106" s="34"/>
      <c r="R106" t="s" s="8">
        <v>10</v>
      </c>
      <c r="S106" s="34"/>
      <c r="T106" t="s" s="8">
        <v>10</v>
      </c>
      <c r="U106" s="34"/>
      <c r="V106" t="s" s="8">
        <v>10</v>
      </c>
      <c r="W106" s="34"/>
      <c r="X106" t="s" s="8">
        <v>10</v>
      </c>
      <c r="Y106" t="s" s="33">
        <v>170</v>
      </c>
      <c r="Z106" t="s" s="8">
        <v>10</v>
      </c>
      <c r="AA106" t="s" s="33">
        <v>215</v>
      </c>
      <c r="AB106" t="s" s="8">
        <v>10</v>
      </c>
      <c r="AC106" t="s" s="33">
        <v>216</v>
      </c>
      <c r="AD106" s="131"/>
      <c r="AE106" s="13"/>
      <c r="AF106" s="7"/>
    </row>
    <row r="107" ht="13.5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31"/>
      <c r="AE107" s="13"/>
      <c r="AF107" s="7"/>
    </row>
    <row r="108" ht="13.75" customHeight="1">
      <c r="A108" s="136">
        <v>16</v>
      </c>
      <c r="B108" t="s" s="130">
        <v>219</v>
      </c>
      <c r="C108" s="9"/>
      <c r="D108" s="9"/>
      <c r="E108" t="s" s="8">
        <v>5</v>
      </c>
      <c r="F108" t="s" s="8">
        <v>6</v>
      </c>
      <c r="G108" s="16">
        <v>1089</v>
      </c>
      <c r="H108" t="s" s="8">
        <v>6</v>
      </c>
      <c r="I108" s="16">
        <v>1089</v>
      </c>
      <c r="J108" t="s" s="8">
        <v>6</v>
      </c>
      <c r="K108" s="16">
        <v>1089</v>
      </c>
      <c r="L108" t="s" s="8">
        <v>6</v>
      </c>
      <c r="M108" s="18"/>
      <c r="N108" t="s" s="8">
        <v>6</v>
      </c>
      <c r="O108" s="18"/>
      <c r="P108" t="s" s="8">
        <v>6</v>
      </c>
      <c r="Q108" s="18"/>
      <c r="R108" t="s" s="8">
        <v>6</v>
      </c>
      <c r="S108" s="18"/>
      <c r="T108" t="s" s="8">
        <v>6</v>
      </c>
      <c r="U108" s="18"/>
      <c r="V108" t="s" s="8">
        <v>6</v>
      </c>
      <c r="W108" s="18"/>
      <c r="X108" t="s" s="8">
        <v>6</v>
      </c>
      <c r="Y108" s="16">
        <v>2185</v>
      </c>
      <c r="Z108" t="s" s="8">
        <v>6</v>
      </c>
      <c r="AA108" s="16">
        <v>2496</v>
      </c>
      <c r="AB108" t="s" s="8">
        <v>6</v>
      </c>
      <c r="AC108" s="16">
        <v>2496</v>
      </c>
      <c r="AD108" s="131"/>
      <c r="AE108" s="13"/>
      <c r="AF108" s="7"/>
    </row>
    <row r="109" ht="13.55" customHeight="1">
      <c r="A109" s="137"/>
      <c r="B109" s="9"/>
      <c r="C109" s="42"/>
      <c r="D109" s="42"/>
      <c r="E109" s="9"/>
      <c r="F109" t="s" s="8">
        <v>8</v>
      </c>
      <c r="G109" s="26">
        <v>900</v>
      </c>
      <c r="H109" t="s" s="8">
        <v>8</v>
      </c>
      <c r="I109" s="26">
        <v>900</v>
      </c>
      <c r="J109" t="s" s="8">
        <v>8</v>
      </c>
      <c r="K109" s="26">
        <v>900</v>
      </c>
      <c r="L109" t="s" s="8">
        <v>8</v>
      </c>
      <c r="M109" s="27"/>
      <c r="N109" t="s" s="8">
        <v>8</v>
      </c>
      <c r="O109" s="27"/>
      <c r="P109" t="s" s="8">
        <v>8</v>
      </c>
      <c r="Q109" s="27"/>
      <c r="R109" t="s" s="8">
        <v>8</v>
      </c>
      <c r="S109" s="27"/>
      <c r="T109" t="s" s="8">
        <v>8</v>
      </c>
      <c r="U109" s="27"/>
      <c r="V109" t="s" s="8">
        <v>8</v>
      </c>
      <c r="W109" s="27"/>
      <c r="X109" t="s" s="8">
        <v>8</v>
      </c>
      <c r="Y109" s="26">
        <v>850</v>
      </c>
      <c r="Z109" t="s" s="8">
        <v>8</v>
      </c>
      <c r="AA109" s="26">
        <v>850</v>
      </c>
      <c r="AB109" t="s" s="8">
        <v>8</v>
      </c>
      <c r="AC109" s="26" cm="1">
        <f t="array" ref="AC109">800+50</f>
        <v>850</v>
      </c>
      <c r="AD109" s="132" cm="1">
        <f t="array" ref="AD109">G109+I109+K109+M109+O109+Q109+S109+U109+W109+Y109+AA109+AC109</f>
        <v>5250</v>
      </c>
      <c r="AE109" s="50" cm="1">
        <f t="array" ref="AE109">850*12</f>
        <v>10200</v>
      </c>
      <c r="AF109" s="51" cm="1">
        <f t="array" ref="AF109">AE109-AD109</f>
        <v>4950</v>
      </c>
    </row>
    <row r="110" ht="13.55" customHeight="1">
      <c r="A110" s="137"/>
      <c r="B110" s="9"/>
      <c r="C110" t="s" s="8">
        <v>9</v>
      </c>
      <c r="D110" s="25">
        <v>1000</v>
      </c>
      <c r="E110" t="s" s="8">
        <v>220</v>
      </c>
      <c r="F110" t="s" s="8">
        <v>10</v>
      </c>
      <c r="G110" t="s" s="33">
        <v>17</v>
      </c>
      <c r="H110" t="s" s="8">
        <v>10</v>
      </c>
      <c r="I110" t="s" s="33">
        <v>17</v>
      </c>
      <c r="J110" t="s" s="8">
        <v>10</v>
      </c>
      <c r="K110" t="s" s="33">
        <v>17</v>
      </c>
      <c r="L110" t="s" s="8">
        <v>10</v>
      </c>
      <c r="M110" s="34"/>
      <c r="N110" t="s" s="8">
        <v>10</v>
      </c>
      <c r="O110" s="34"/>
      <c r="P110" t="s" s="8">
        <v>10</v>
      </c>
      <c r="Q110" s="34"/>
      <c r="R110" t="s" s="8">
        <v>10</v>
      </c>
      <c r="S110" s="34"/>
      <c r="T110" t="s" s="8">
        <v>10</v>
      </c>
      <c r="U110" s="34"/>
      <c r="V110" t="s" s="8">
        <v>10</v>
      </c>
      <c r="W110" s="34"/>
      <c r="X110" t="s" s="8">
        <v>10</v>
      </c>
      <c r="Y110" t="s" s="33">
        <v>221</v>
      </c>
      <c r="Z110" t="s" s="8">
        <v>10</v>
      </c>
      <c r="AA110" t="s" s="33">
        <v>222</v>
      </c>
      <c r="AB110" t="s" s="8">
        <v>10</v>
      </c>
      <c r="AC110" t="s" s="33">
        <v>222</v>
      </c>
      <c r="AD110" s="131"/>
      <c r="AE110" s="13"/>
      <c r="AF110" s="7"/>
    </row>
    <row r="111" ht="13.75" customHeight="1">
      <c r="A111" s="137"/>
      <c r="B111" t="s" s="8">
        <v>223</v>
      </c>
      <c r="C111" s="9"/>
      <c r="D111" s="9"/>
      <c r="E111" t="s" s="8">
        <v>14</v>
      </c>
      <c r="F111" t="s" s="8">
        <v>6</v>
      </c>
      <c r="G111" s="16">
        <v>2027</v>
      </c>
      <c r="H111" t="s" s="8">
        <v>6</v>
      </c>
      <c r="I111" s="16">
        <v>2027</v>
      </c>
      <c r="J111" t="s" s="8">
        <v>6</v>
      </c>
      <c r="K111" s="18"/>
      <c r="L111" t="s" s="8">
        <v>6</v>
      </c>
      <c r="M111" s="18"/>
      <c r="N111" t="s" s="8">
        <v>6</v>
      </c>
      <c r="O111" s="18"/>
      <c r="P111" t="s" s="8">
        <v>6</v>
      </c>
      <c r="Q111" s="18"/>
      <c r="R111" t="s" s="8">
        <v>6</v>
      </c>
      <c r="S111" s="18"/>
      <c r="T111" t="s" s="8">
        <v>6</v>
      </c>
      <c r="U111" s="18"/>
      <c r="V111" t="s" s="8">
        <v>6</v>
      </c>
      <c r="W111" s="18"/>
      <c r="X111" t="s" s="8">
        <v>6</v>
      </c>
      <c r="Y111" s="16">
        <v>851</v>
      </c>
      <c r="Z111" t="s" s="8">
        <v>6</v>
      </c>
      <c r="AA111" s="16">
        <v>1759</v>
      </c>
      <c r="AB111" t="s" s="8">
        <v>6</v>
      </c>
      <c r="AC111" s="16">
        <v>1759</v>
      </c>
      <c r="AD111" s="131"/>
      <c r="AE111" s="13"/>
      <c r="AF111" s="7"/>
    </row>
    <row r="112" ht="13.55" customHeight="1">
      <c r="A112" s="137"/>
      <c r="B112" t="s" s="8">
        <v>224</v>
      </c>
      <c r="C112" s="9"/>
      <c r="D112" s="9"/>
      <c r="E112" s="9"/>
      <c r="F112" t="s" s="8">
        <v>8</v>
      </c>
      <c r="G112" s="26">
        <v>800</v>
      </c>
      <c r="H112" t="s" s="8">
        <v>8</v>
      </c>
      <c r="I112" s="26">
        <v>800</v>
      </c>
      <c r="J112" t="s" s="8">
        <v>8</v>
      </c>
      <c r="K112" s="27"/>
      <c r="L112" t="s" s="8">
        <v>8</v>
      </c>
      <c r="M112" s="27"/>
      <c r="N112" t="s" s="8">
        <v>8</v>
      </c>
      <c r="O112" s="27"/>
      <c r="P112" t="s" s="8">
        <v>8</v>
      </c>
      <c r="Q112" s="27"/>
      <c r="R112" t="s" s="8">
        <v>8</v>
      </c>
      <c r="S112" s="27"/>
      <c r="T112" t="s" s="8">
        <v>8</v>
      </c>
      <c r="U112" s="27"/>
      <c r="V112" t="s" s="8">
        <v>8</v>
      </c>
      <c r="W112" s="27"/>
      <c r="X112" t="s" s="8">
        <v>8</v>
      </c>
      <c r="Y112" s="26">
        <v>700</v>
      </c>
      <c r="Z112" t="s" s="8">
        <v>8</v>
      </c>
      <c r="AA112" s="26">
        <v>700</v>
      </c>
      <c r="AB112" t="s" s="8">
        <v>8</v>
      </c>
      <c r="AC112" s="26">
        <v>700</v>
      </c>
      <c r="AD112" s="132" cm="1">
        <f t="array" ref="AD112">G112+I112+K112+M112+O112+Q112+S112+U112+W112+Y112+AA112+AC112</f>
        <v>3700</v>
      </c>
      <c r="AE112" s="50" cm="1">
        <f t="array" ref="AE112">700*11</f>
        <v>7700</v>
      </c>
      <c r="AF112" s="51" cm="1">
        <f t="array" ref="AF112">AE112-AD112</f>
        <v>4000</v>
      </c>
    </row>
    <row r="113" ht="13.55" customHeight="1">
      <c r="A113" s="137"/>
      <c r="B113" s="23"/>
      <c r="C113" s="9"/>
      <c r="D113" s="9"/>
      <c r="E113" s="9"/>
      <c r="F113" t="s" s="8">
        <v>10</v>
      </c>
      <c r="G113" t="s" s="33">
        <v>17</v>
      </c>
      <c r="H113" t="s" s="8">
        <v>10</v>
      </c>
      <c r="I113" t="s" s="33">
        <v>17</v>
      </c>
      <c r="J113" t="s" s="8">
        <v>10</v>
      </c>
      <c r="K113" s="34"/>
      <c r="L113" t="s" s="8">
        <v>10</v>
      </c>
      <c r="M113" s="34"/>
      <c r="N113" t="s" s="8">
        <v>10</v>
      </c>
      <c r="O113" s="34"/>
      <c r="P113" t="s" s="8">
        <v>10</v>
      </c>
      <c r="Q113" s="34"/>
      <c r="R113" t="s" s="8">
        <v>10</v>
      </c>
      <c r="S113" s="34"/>
      <c r="T113" t="s" s="8">
        <v>10</v>
      </c>
      <c r="U113" s="34"/>
      <c r="V113" t="s" s="8">
        <v>10</v>
      </c>
      <c r="W113" s="34"/>
      <c r="X113" t="s" s="8">
        <v>10</v>
      </c>
      <c r="Y113" t="s" s="33">
        <v>221</v>
      </c>
      <c r="Z113" t="s" s="8">
        <v>10</v>
      </c>
      <c r="AA113" t="s" s="33">
        <v>222</v>
      </c>
      <c r="AB113" t="s" s="8">
        <v>10</v>
      </c>
      <c r="AC113" t="s" s="33">
        <v>222</v>
      </c>
      <c r="AD113" s="131"/>
      <c r="AE113" s="13"/>
      <c r="AF113" s="7"/>
    </row>
    <row r="114" ht="13.5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31"/>
      <c r="AE114" s="13"/>
      <c r="AF114" s="7"/>
    </row>
    <row r="115" ht="13.75" customHeight="1">
      <c r="A115" s="136">
        <v>17</v>
      </c>
      <c r="B115" t="s" s="130">
        <v>225</v>
      </c>
      <c r="C115" s="9"/>
      <c r="D115" s="9"/>
      <c r="E115" t="s" s="8">
        <v>5</v>
      </c>
      <c r="F115" t="s" s="8">
        <v>6</v>
      </c>
      <c r="G115" s="16">
        <v>1073</v>
      </c>
      <c r="H115" t="s" s="8">
        <v>6</v>
      </c>
      <c r="I115" s="16">
        <v>3265</v>
      </c>
      <c r="J115" t="s" s="8">
        <v>6</v>
      </c>
      <c r="K115" s="16">
        <v>3265</v>
      </c>
      <c r="L115" t="s" s="8">
        <v>6</v>
      </c>
      <c r="M115" s="18"/>
      <c r="N115" t="s" s="8">
        <v>6</v>
      </c>
      <c r="O115" s="18"/>
      <c r="P115" t="s" s="8">
        <v>6</v>
      </c>
      <c r="Q115" s="18"/>
      <c r="R115" t="s" s="8">
        <v>6</v>
      </c>
      <c r="S115" s="18"/>
      <c r="T115" t="s" s="8">
        <v>6</v>
      </c>
      <c r="U115" s="18"/>
      <c r="V115" t="s" s="8">
        <v>6</v>
      </c>
      <c r="W115" s="18"/>
      <c r="X115" t="s" s="8">
        <v>6</v>
      </c>
      <c r="Y115" s="16">
        <v>2330</v>
      </c>
      <c r="Z115" t="s" s="8">
        <v>6</v>
      </c>
      <c r="AA115" s="16">
        <v>2933</v>
      </c>
      <c r="AB115" t="s" s="8">
        <v>6</v>
      </c>
      <c r="AC115" s="16">
        <v>3045</v>
      </c>
      <c r="AD115" s="131"/>
      <c r="AE115" s="13"/>
      <c r="AF115" s="7"/>
    </row>
    <row r="116" ht="13.55" customHeight="1">
      <c r="A116" s="137"/>
      <c r="B116" s="9"/>
      <c r="C116" s="42"/>
      <c r="D116" s="42"/>
      <c r="E116" s="9"/>
      <c r="F116" t="s" s="8">
        <v>8</v>
      </c>
      <c r="G116" s="26">
        <v>900</v>
      </c>
      <c r="H116" t="s" s="8">
        <v>8</v>
      </c>
      <c r="I116" s="26">
        <v>900</v>
      </c>
      <c r="J116" t="s" s="8">
        <v>8</v>
      </c>
      <c r="K116" s="26">
        <v>900</v>
      </c>
      <c r="L116" t="s" s="8">
        <v>8</v>
      </c>
      <c r="M116" s="27"/>
      <c r="N116" t="s" s="8">
        <v>8</v>
      </c>
      <c r="O116" s="27"/>
      <c r="P116" t="s" s="8">
        <v>8</v>
      </c>
      <c r="Q116" s="27"/>
      <c r="R116" t="s" s="8">
        <v>8</v>
      </c>
      <c r="S116" s="27"/>
      <c r="T116" t="s" s="8">
        <v>8</v>
      </c>
      <c r="U116" s="27"/>
      <c r="V116" t="s" s="8">
        <v>8</v>
      </c>
      <c r="W116" s="27"/>
      <c r="X116" t="s" s="8">
        <v>8</v>
      </c>
      <c r="Y116" s="26">
        <v>850</v>
      </c>
      <c r="Z116" t="s" s="8">
        <v>8</v>
      </c>
      <c r="AA116" s="26">
        <v>850</v>
      </c>
      <c r="AB116" t="s" s="8">
        <v>8</v>
      </c>
      <c r="AC116" s="26">
        <v>850</v>
      </c>
      <c r="AD116" s="132" cm="1">
        <f t="array" ref="AD116">G116+I116+K116+M116+O116+Q116+S116+U116+W116+Y116+AA116+AC116</f>
        <v>5250</v>
      </c>
      <c r="AE116" s="50" cm="1">
        <f t="array" ref="AE116">850*12</f>
        <v>10200</v>
      </c>
      <c r="AF116" s="51" cm="1">
        <f t="array" ref="AF116">AE116-AD116</f>
        <v>4950</v>
      </c>
    </row>
    <row r="117" ht="13.55" customHeight="1">
      <c r="A117" s="137"/>
      <c r="B117" s="9"/>
      <c r="C117" t="s" s="8">
        <v>9</v>
      </c>
      <c r="D117" s="25">
        <v>1000</v>
      </c>
      <c r="E117" s="9"/>
      <c r="F117" t="s" s="8">
        <v>10</v>
      </c>
      <c r="G117" t="s" s="33">
        <v>17</v>
      </c>
      <c r="H117" t="s" s="8">
        <v>10</v>
      </c>
      <c r="I117" t="s" s="33">
        <v>226</v>
      </c>
      <c r="J117" t="s" s="8">
        <v>10</v>
      </c>
      <c r="K117" t="s" s="33">
        <v>226</v>
      </c>
      <c r="L117" t="s" s="8">
        <v>10</v>
      </c>
      <c r="M117" s="34"/>
      <c r="N117" t="s" s="8">
        <v>10</v>
      </c>
      <c r="O117" s="34"/>
      <c r="P117" t="s" s="8">
        <v>10</v>
      </c>
      <c r="Q117" s="34"/>
      <c r="R117" t="s" s="8">
        <v>10</v>
      </c>
      <c r="S117" s="34"/>
      <c r="T117" t="s" s="8">
        <v>10</v>
      </c>
      <c r="U117" s="34"/>
      <c r="V117" t="s" s="8">
        <v>10</v>
      </c>
      <c r="W117" s="34"/>
      <c r="X117" t="s" s="8">
        <v>10</v>
      </c>
      <c r="Y117" t="s" s="33">
        <v>227</v>
      </c>
      <c r="Z117" t="s" s="8">
        <v>10</v>
      </c>
      <c r="AA117" t="s" s="33">
        <v>186</v>
      </c>
      <c r="AB117" t="s" s="8">
        <v>10</v>
      </c>
      <c r="AC117" t="s" s="33">
        <v>166</v>
      </c>
      <c r="AD117" s="131"/>
      <c r="AE117" s="13"/>
      <c r="AF117" s="7"/>
    </row>
    <row r="118" ht="13.75" customHeight="1">
      <c r="A118" s="137"/>
      <c r="B118" t="s" s="8">
        <v>228</v>
      </c>
      <c r="C118" s="9"/>
      <c r="D118" s="9"/>
      <c r="E118" t="s" s="8">
        <v>14</v>
      </c>
      <c r="F118" t="s" s="8">
        <v>6</v>
      </c>
      <c r="G118" s="16">
        <v>2013</v>
      </c>
      <c r="H118" t="s" s="8">
        <v>6</v>
      </c>
      <c r="I118" s="16">
        <v>2226</v>
      </c>
      <c r="J118" t="s" s="8">
        <v>6</v>
      </c>
      <c r="K118" s="40"/>
      <c r="L118" t="s" s="8">
        <v>6</v>
      </c>
      <c r="M118" s="18"/>
      <c r="N118" t="s" s="8">
        <v>6</v>
      </c>
      <c r="O118" s="18"/>
      <c r="P118" t="s" s="8">
        <v>6</v>
      </c>
      <c r="Q118" s="18"/>
      <c r="R118" t="s" s="8">
        <v>6</v>
      </c>
      <c r="S118" s="18"/>
      <c r="T118" t="s" s="8">
        <v>6</v>
      </c>
      <c r="U118" s="18"/>
      <c r="V118" t="s" s="8">
        <v>6</v>
      </c>
      <c r="W118" s="18"/>
      <c r="X118" t="s" s="8">
        <v>6</v>
      </c>
      <c r="Y118" s="16">
        <v>980</v>
      </c>
      <c r="Z118" t="s" s="8">
        <v>6</v>
      </c>
      <c r="AA118" s="16">
        <v>1789</v>
      </c>
      <c r="AB118" t="s" s="8">
        <v>6</v>
      </c>
      <c r="AC118" s="16">
        <v>1885</v>
      </c>
      <c r="AD118" s="131"/>
      <c r="AE118" s="13"/>
      <c r="AF118" s="7"/>
    </row>
    <row r="119" ht="13.55" customHeight="1">
      <c r="A119" s="137"/>
      <c r="B119" t="s" s="8">
        <v>229</v>
      </c>
      <c r="C119" s="9"/>
      <c r="D119" s="9"/>
      <c r="E119" s="9"/>
      <c r="F119" t="s" s="8">
        <v>8</v>
      </c>
      <c r="G119" s="26">
        <v>600</v>
      </c>
      <c r="H119" t="s" s="8">
        <v>8</v>
      </c>
      <c r="I119" s="26">
        <v>600</v>
      </c>
      <c r="J119" t="s" s="8">
        <v>8</v>
      </c>
      <c r="K119" s="41"/>
      <c r="L119" t="s" s="8">
        <v>8</v>
      </c>
      <c r="M119" s="27"/>
      <c r="N119" t="s" s="8">
        <v>8</v>
      </c>
      <c r="O119" s="27"/>
      <c r="P119" t="s" s="8">
        <v>8</v>
      </c>
      <c r="Q119" s="27"/>
      <c r="R119" t="s" s="8">
        <v>8</v>
      </c>
      <c r="S119" s="27"/>
      <c r="T119" t="s" s="8">
        <v>8</v>
      </c>
      <c r="U119" s="27"/>
      <c r="V119" t="s" s="8">
        <v>8</v>
      </c>
      <c r="W119" s="27"/>
      <c r="X119" t="s" s="8">
        <v>8</v>
      </c>
      <c r="Y119" s="26">
        <v>500</v>
      </c>
      <c r="Z119" t="s" s="8">
        <v>8</v>
      </c>
      <c r="AA119" s="26">
        <v>500</v>
      </c>
      <c r="AB119" t="s" s="8">
        <v>8</v>
      </c>
      <c r="AC119" s="26">
        <v>500</v>
      </c>
      <c r="AD119" s="131" cm="1">
        <f t="array" ref="AD119">G119+I119+K119+M119+O119+Q119+S119+U119+W119+Y119+AA119+AC119</f>
      </c>
      <c r="AE119" s="50" cm="1">
        <f t="array" ref="AE119">500*11</f>
        <v>5500</v>
      </c>
      <c r="AF119" s="7" cm="1">
        <f t="array" ref="AF119">AE119-AD119</f>
      </c>
    </row>
    <row r="120" ht="13.55" customHeight="1">
      <c r="A120" s="137"/>
      <c r="B120" s="23"/>
      <c r="C120" s="9"/>
      <c r="D120" s="9"/>
      <c r="E120" s="9"/>
      <c r="F120" t="s" s="8">
        <v>10</v>
      </c>
      <c r="G120" t="s" s="33">
        <v>17</v>
      </c>
      <c r="H120" t="s" s="8">
        <v>10</v>
      </c>
      <c r="I120" t="s" s="33">
        <v>226</v>
      </c>
      <c r="J120" t="s" s="8">
        <v>10</v>
      </c>
      <c r="K120" s="45"/>
      <c r="L120" t="s" s="8">
        <v>10</v>
      </c>
      <c r="M120" s="34"/>
      <c r="N120" t="s" s="8">
        <v>10</v>
      </c>
      <c r="O120" s="34"/>
      <c r="P120" t="s" s="8">
        <v>10</v>
      </c>
      <c r="Q120" s="34"/>
      <c r="R120" t="s" s="8">
        <v>10</v>
      </c>
      <c r="S120" s="34"/>
      <c r="T120" t="s" s="8">
        <v>10</v>
      </c>
      <c r="U120" s="34"/>
      <c r="V120" t="s" s="8">
        <v>10</v>
      </c>
      <c r="W120" s="34"/>
      <c r="X120" t="s" s="8">
        <v>10</v>
      </c>
      <c r="Y120" t="s" s="33">
        <v>227</v>
      </c>
      <c r="Z120" t="s" s="8">
        <v>10</v>
      </c>
      <c r="AA120" t="s" s="33">
        <v>186</v>
      </c>
      <c r="AB120" t="s" s="8">
        <v>10</v>
      </c>
      <c r="AC120" t="s" s="33">
        <v>166</v>
      </c>
      <c r="AD120" s="131"/>
      <c r="AE120" s="13"/>
      <c r="AF120" s="7"/>
    </row>
    <row r="121" ht="13.5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31"/>
      <c r="AE121" s="13"/>
      <c r="AF121" s="7"/>
    </row>
    <row r="122" ht="13.75" customHeight="1">
      <c r="A122" s="136">
        <v>18</v>
      </c>
      <c r="B122" t="s" s="130">
        <v>230</v>
      </c>
      <c r="C122" s="9"/>
      <c r="D122" s="9"/>
      <c r="E122" t="s" s="8">
        <v>5</v>
      </c>
      <c r="F122" t="s" s="8">
        <v>6</v>
      </c>
      <c r="G122" s="16">
        <v>1241</v>
      </c>
      <c r="H122" t="s" s="8">
        <v>6</v>
      </c>
      <c r="I122" s="16">
        <v>1241</v>
      </c>
      <c r="J122" t="s" s="8">
        <v>6</v>
      </c>
      <c r="K122" s="18"/>
      <c r="L122" t="s" s="8">
        <v>6</v>
      </c>
      <c r="M122" s="131"/>
      <c r="N122" t="s" s="8">
        <v>6</v>
      </c>
      <c r="O122" s="131"/>
      <c r="P122" t="s" s="8">
        <v>6</v>
      </c>
      <c r="Q122" s="131"/>
      <c r="R122" t="s" s="8">
        <v>6</v>
      </c>
      <c r="S122" s="131"/>
      <c r="T122" t="s" s="8">
        <v>6</v>
      </c>
      <c r="U122" s="131"/>
      <c r="V122" t="s" s="8">
        <v>6</v>
      </c>
      <c r="W122" s="131"/>
      <c r="X122" t="s" s="8">
        <v>6</v>
      </c>
      <c r="Y122" s="132">
        <v>2418</v>
      </c>
      <c r="Z122" t="s" s="8">
        <v>6</v>
      </c>
      <c r="AA122" s="132">
        <v>2966</v>
      </c>
      <c r="AB122" t="s" s="8">
        <v>6</v>
      </c>
      <c r="AC122" s="132">
        <v>2966</v>
      </c>
      <c r="AD122" s="131"/>
      <c r="AE122" s="13"/>
      <c r="AF122" s="7"/>
    </row>
    <row r="123" ht="13.55" customHeight="1">
      <c r="A123" s="137"/>
      <c r="B123" s="9"/>
      <c r="C123" s="42"/>
      <c r="D123" s="42"/>
      <c r="E123" s="9"/>
      <c r="F123" t="s" s="8">
        <v>8</v>
      </c>
      <c r="G123" s="26">
        <v>900</v>
      </c>
      <c r="H123" t="s" s="8">
        <v>8</v>
      </c>
      <c r="I123" s="26">
        <v>900</v>
      </c>
      <c r="J123" t="s" s="8">
        <v>8</v>
      </c>
      <c r="K123" s="27"/>
      <c r="L123" t="s" s="8">
        <v>8</v>
      </c>
      <c r="M123" s="27"/>
      <c r="N123" t="s" s="8">
        <v>8</v>
      </c>
      <c r="O123" s="27"/>
      <c r="P123" t="s" s="8">
        <v>8</v>
      </c>
      <c r="Q123" s="27"/>
      <c r="R123" t="s" s="8">
        <v>8</v>
      </c>
      <c r="S123" s="27"/>
      <c r="T123" t="s" s="8">
        <v>8</v>
      </c>
      <c r="U123" s="27"/>
      <c r="V123" t="s" s="8">
        <v>8</v>
      </c>
      <c r="W123" s="27"/>
      <c r="X123" t="s" s="8">
        <v>8</v>
      </c>
      <c r="Y123" s="26">
        <v>850</v>
      </c>
      <c r="Z123" t="s" s="8">
        <v>8</v>
      </c>
      <c r="AA123" s="26">
        <v>850</v>
      </c>
      <c r="AB123" t="s" s="8">
        <v>8</v>
      </c>
      <c r="AC123" s="26">
        <v>850</v>
      </c>
      <c r="AD123" s="132" cm="1">
        <f t="array" ref="AD123">G123+I123+K123+M123+O123+Q123+S123+U123+W123+Y123+AA123+AC123</f>
        <v>4350</v>
      </c>
      <c r="AE123" s="50" cm="1">
        <f t="array" ref="AE123">850*12</f>
        <v>10200</v>
      </c>
      <c r="AF123" s="51" cm="1">
        <f t="array" ref="AF123">AE123-AD123</f>
        <v>5850</v>
      </c>
    </row>
    <row r="124" ht="13.55" customHeight="1">
      <c r="A124" s="137"/>
      <c r="B124" s="9"/>
      <c r="C124" t="s" s="8">
        <v>9</v>
      </c>
      <c r="D124" s="25">
        <v>1000</v>
      </c>
      <c r="E124" s="9"/>
      <c r="F124" t="s" s="8">
        <v>10</v>
      </c>
      <c r="G124" t="s" s="33">
        <v>231</v>
      </c>
      <c r="H124" t="s" s="8">
        <v>10</v>
      </c>
      <c r="I124" t="s" s="33">
        <v>231</v>
      </c>
      <c r="J124" t="s" s="8">
        <v>10</v>
      </c>
      <c r="K124" s="34"/>
      <c r="L124" t="s" s="8">
        <v>10</v>
      </c>
      <c r="M124" s="34"/>
      <c r="N124" t="s" s="8">
        <v>10</v>
      </c>
      <c r="O124" s="34"/>
      <c r="P124" t="s" s="8">
        <v>10</v>
      </c>
      <c r="Q124" s="34"/>
      <c r="R124" t="s" s="8">
        <v>10</v>
      </c>
      <c r="S124" s="34"/>
      <c r="T124" t="s" s="8">
        <v>10</v>
      </c>
      <c r="U124" s="34"/>
      <c r="V124" t="s" s="8">
        <v>10</v>
      </c>
      <c r="W124" s="34"/>
      <c r="X124" t="s" s="8">
        <v>10</v>
      </c>
      <c r="Y124" t="s" s="33">
        <v>193</v>
      </c>
      <c r="Z124" t="s" s="8">
        <v>10</v>
      </c>
      <c r="AA124" t="s" s="33">
        <v>232</v>
      </c>
      <c r="AB124" t="s" s="8">
        <v>10</v>
      </c>
      <c r="AC124" t="s" s="33">
        <v>232</v>
      </c>
      <c r="AD124" s="131"/>
      <c r="AE124" s="13"/>
      <c r="AF124" s="7"/>
    </row>
    <row r="125" ht="13.75" customHeight="1">
      <c r="A125" s="137"/>
      <c r="B125" t="s" s="8">
        <v>233</v>
      </c>
      <c r="C125" s="9"/>
      <c r="D125" s="9"/>
      <c r="E125" t="s" s="8">
        <v>14</v>
      </c>
      <c r="F125" t="s" s="8">
        <v>6</v>
      </c>
      <c r="G125" s="18"/>
      <c r="H125" t="s" s="8">
        <v>6</v>
      </c>
      <c r="I125" s="16">
        <v>2136</v>
      </c>
      <c r="J125" t="s" s="8">
        <v>6</v>
      </c>
      <c r="K125" s="40"/>
      <c r="L125" t="s" s="8">
        <v>6</v>
      </c>
      <c r="M125" s="18"/>
      <c r="N125" t="s" s="8">
        <v>6</v>
      </c>
      <c r="O125" s="18"/>
      <c r="P125" t="s" s="8">
        <v>6</v>
      </c>
      <c r="Q125" s="18"/>
      <c r="R125" t="s" s="8">
        <v>6</v>
      </c>
      <c r="S125" s="131"/>
      <c r="T125" t="s" s="8">
        <v>6</v>
      </c>
      <c r="U125" s="131"/>
      <c r="V125" t="s" s="8">
        <v>6</v>
      </c>
      <c r="W125" s="131"/>
      <c r="X125" t="s" s="8">
        <v>6</v>
      </c>
      <c r="Y125" s="132">
        <v>1046</v>
      </c>
      <c r="Z125" t="s" s="8">
        <v>6</v>
      </c>
      <c r="AA125" s="132">
        <v>1819</v>
      </c>
      <c r="AB125" t="s" s="8">
        <v>6</v>
      </c>
      <c r="AC125" s="132">
        <v>1819</v>
      </c>
      <c r="AD125" s="131"/>
      <c r="AE125" s="13"/>
      <c r="AF125" s="7"/>
    </row>
    <row r="126" ht="13.55" customHeight="1">
      <c r="A126" s="137"/>
      <c r="B126" t="s" s="8">
        <v>234</v>
      </c>
      <c r="C126" s="9"/>
      <c r="D126" s="9"/>
      <c r="E126" s="9"/>
      <c r="F126" t="s" s="8">
        <v>8</v>
      </c>
      <c r="G126" s="27"/>
      <c r="H126" t="s" s="8">
        <v>8</v>
      </c>
      <c r="I126" s="26">
        <v>600</v>
      </c>
      <c r="J126" t="s" s="8">
        <v>8</v>
      </c>
      <c r="K126" s="41"/>
      <c r="L126" t="s" s="8">
        <v>8</v>
      </c>
      <c r="M126" s="27"/>
      <c r="N126" t="s" s="8">
        <v>8</v>
      </c>
      <c r="O126" s="27"/>
      <c r="P126" t="s" s="8">
        <v>8</v>
      </c>
      <c r="Q126" s="27"/>
      <c r="R126" t="s" s="8">
        <v>8</v>
      </c>
      <c r="S126" s="27"/>
      <c r="T126" t="s" s="8">
        <v>8</v>
      </c>
      <c r="U126" s="27"/>
      <c r="V126" t="s" s="8">
        <v>8</v>
      </c>
      <c r="W126" s="27"/>
      <c r="X126" t="s" s="8">
        <v>8</v>
      </c>
      <c r="Y126" s="26">
        <v>500</v>
      </c>
      <c r="Z126" t="s" s="8">
        <v>8</v>
      </c>
      <c r="AA126" s="26">
        <v>500</v>
      </c>
      <c r="AB126" t="s" s="8">
        <v>8</v>
      </c>
      <c r="AC126" s="26">
        <v>500</v>
      </c>
      <c r="AD126" s="131" cm="1">
        <f t="array" ref="AD126">G126+I126+K126+M126+O126+Q126+S126+U126+W126+Y126+AA126+AC126</f>
      </c>
      <c r="AE126" s="50" cm="1">
        <f t="array" ref="AE126">500*11</f>
        <v>5500</v>
      </c>
      <c r="AF126" s="7" cm="1">
        <f t="array" ref="AF126">AE126-AD126</f>
      </c>
    </row>
    <row r="127" ht="13.55" customHeight="1">
      <c r="A127" s="137"/>
      <c r="B127" s="23"/>
      <c r="C127" s="9"/>
      <c r="D127" s="9"/>
      <c r="E127" s="9"/>
      <c r="F127" t="s" s="8">
        <v>10</v>
      </c>
      <c r="G127" s="34"/>
      <c r="H127" t="s" s="8">
        <v>10</v>
      </c>
      <c r="I127" t="s" s="33">
        <v>231</v>
      </c>
      <c r="J127" t="s" s="8">
        <v>10</v>
      </c>
      <c r="K127" s="45"/>
      <c r="L127" t="s" s="8">
        <v>10</v>
      </c>
      <c r="M127" s="34"/>
      <c r="N127" t="s" s="8">
        <v>10</v>
      </c>
      <c r="O127" s="34"/>
      <c r="P127" t="s" s="8">
        <v>10</v>
      </c>
      <c r="Q127" s="34"/>
      <c r="R127" t="s" s="8">
        <v>10</v>
      </c>
      <c r="S127" s="34"/>
      <c r="T127" t="s" s="8">
        <v>10</v>
      </c>
      <c r="U127" s="34"/>
      <c r="V127" t="s" s="8">
        <v>10</v>
      </c>
      <c r="W127" s="34"/>
      <c r="X127" t="s" s="8">
        <v>10</v>
      </c>
      <c r="Y127" t="s" s="33">
        <v>193</v>
      </c>
      <c r="Z127" t="s" s="8">
        <v>10</v>
      </c>
      <c r="AA127" t="s" s="33">
        <v>232</v>
      </c>
      <c r="AB127" t="s" s="8">
        <v>10</v>
      </c>
      <c r="AC127" t="s" s="33">
        <v>232</v>
      </c>
      <c r="AD127" s="131"/>
      <c r="AE127" s="13"/>
      <c r="AF127" s="7"/>
    </row>
    <row r="128" ht="13.5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31"/>
      <c r="AE128" s="13"/>
      <c r="AF128" s="7"/>
    </row>
    <row r="129" ht="13.75" customHeight="1">
      <c r="A129" s="136">
        <v>19</v>
      </c>
      <c r="B129" t="s" s="130">
        <v>235</v>
      </c>
      <c r="C129" s="9"/>
      <c r="D129" s="9"/>
      <c r="E129" t="s" s="8">
        <v>5</v>
      </c>
      <c r="F129" t="s" s="8">
        <v>6</v>
      </c>
      <c r="G129" s="16">
        <v>1092</v>
      </c>
      <c r="H129" t="s" s="8">
        <v>6</v>
      </c>
      <c r="I129" s="16">
        <v>3244</v>
      </c>
      <c r="J129" t="s" s="8">
        <v>6</v>
      </c>
      <c r="K129" s="18"/>
      <c r="L129" t="s" s="8">
        <v>6</v>
      </c>
      <c r="M129" s="18"/>
      <c r="N129" t="s" s="8">
        <v>6</v>
      </c>
      <c r="O129" s="18"/>
      <c r="P129" t="s" s="8">
        <v>6</v>
      </c>
      <c r="Q129" s="18"/>
      <c r="R129" t="s" s="8">
        <v>6</v>
      </c>
      <c r="S129" s="18"/>
      <c r="T129" t="s" s="8">
        <v>6</v>
      </c>
      <c r="U129" s="18"/>
      <c r="V129" t="s" s="8">
        <v>6</v>
      </c>
      <c r="W129" s="18"/>
      <c r="X129" t="s" s="8">
        <v>6</v>
      </c>
      <c r="Y129" s="16">
        <v>2392</v>
      </c>
      <c r="Z129" t="s" s="8">
        <v>6</v>
      </c>
      <c r="AA129" s="16">
        <v>2996</v>
      </c>
      <c r="AB129" t="s" s="8">
        <v>6</v>
      </c>
      <c r="AC129" s="16">
        <v>3022</v>
      </c>
      <c r="AD129" s="131"/>
      <c r="AE129" s="13"/>
      <c r="AF129" s="7"/>
    </row>
    <row r="130" ht="13.55" customHeight="1">
      <c r="A130" s="137"/>
      <c r="B130" s="23"/>
      <c r="C130" s="42"/>
      <c r="D130" s="42"/>
      <c r="E130" s="9"/>
      <c r="F130" t="s" s="8">
        <v>8</v>
      </c>
      <c r="G130" s="26">
        <v>450</v>
      </c>
      <c r="H130" t="s" s="8">
        <v>8</v>
      </c>
      <c r="I130" s="26">
        <v>450</v>
      </c>
      <c r="J130" t="s" s="8">
        <v>8</v>
      </c>
      <c r="K130" s="27"/>
      <c r="L130" t="s" s="8">
        <v>8</v>
      </c>
      <c r="M130" s="27"/>
      <c r="N130" t="s" s="8">
        <v>8</v>
      </c>
      <c r="O130" s="27"/>
      <c r="P130" t="s" s="8">
        <v>8</v>
      </c>
      <c r="Q130" s="27"/>
      <c r="R130" t="s" s="8">
        <v>8</v>
      </c>
      <c r="S130" s="27"/>
      <c r="T130" t="s" s="8">
        <v>8</v>
      </c>
      <c r="U130" s="27"/>
      <c r="V130" t="s" s="8">
        <v>8</v>
      </c>
      <c r="W130" s="27"/>
      <c r="X130" t="s" s="8">
        <v>8</v>
      </c>
      <c r="Y130" s="26">
        <v>425</v>
      </c>
      <c r="Z130" t="s" s="8">
        <v>8</v>
      </c>
      <c r="AA130" s="26">
        <v>425</v>
      </c>
      <c r="AB130" t="s" s="8">
        <v>8</v>
      </c>
      <c r="AC130" s="26">
        <v>425</v>
      </c>
      <c r="AD130" s="132" cm="1">
        <f t="array" ref="AD130">G130+I130+K130+M130+O130+Q130+S130+U130+W130+Y130+AA130+AC130</f>
        <v>2175</v>
      </c>
      <c r="AE130" s="50" cm="1">
        <f t="array" ref="AE130">425*12</f>
        <v>5100</v>
      </c>
      <c r="AF130" s="51" cm="1">
        <f t="array" ref="AF130">AE130-AD130</f>
        <v>2925</v>
      </c>
    </row>
    <row r="131" ht="13.55" customHeight="1">
      <c r="A131" s="137"/>
      <c r="B131" t="s" s="144">
        <v>60</v>
      </c>
      <c r="C131" t="s" s="8">
        <v>9</v>
      </c>
      <c r="D131" s="25">
        <v>1000</v>
      </c>
      <c r="E131" s="9"/>
      <c r="F131" t="s" s="8">
        <v>10</v>
      </c>
      <c r="G131" t="s" s="33">
        <v>23</v>
      </c>
      <c r="H131" t="s" s="8">
        <v>10</v>
      </c>
      <c r="I131" t="s" s="33">
        <v>64</v>
      </c>
      <c r="J131" t="s" s="8">
        <v>10</v>
      </c>
      <c r="K131" s="34"/>
      <c r="L131" t="s" s="8">
        <v>10</v>
      </c>
      <c r="M131" s="34"/>
      <c r="N131" t="s" s="8">
        <v>10</v>
      </c>
      <c r="O131" s="34"/>
      <c r="P131" t="s" s="8">
        <v>10</v>
      </c>
      <c r="Q131" s="34"/>
      <c r="R131" t="s" s="8">
        <v>10</v>
      </c>
      <c r="S131" s="34"/>
      <c r="T131" t="s" s="8">
        <v>10</v>
      </c>
      <c r="U131" s="34"/>
      <c r="V131" t="s" s="8">
        <v>10</v>
      </c>
      <c r="W131" s="34"/>
      <c r="X131" t="s" s="8">
        <v>10</v>
      </c>
      <c r="Y131" t="s" s="33">
        <v>236</v>
      </c>
      <c r="Z131" t="s" s="8">
        <v>10</v>
      </c>
      <c r="AA131" t="s" s="33">
        <v>237</v>
      </c>
      <c r="AB131" t="s" s="8">
        <v>10</v>
      </c>
      <c r="AC131" t="s" s="33">
        <v>238</v>
      </c>
      <c r="AD131" s="131"/>
      <c r="AE131" s="13"/>
      <c r="AF131" s="7"/>
    </row>
    <row r="132" ht="13.75" customHeight="1">
      <c r="A132" s="137"/>
      <c r="B132" t="s" s="8">
        <v>239</v>
      </c>
      <c r="C132" s="9"/>
      <c r="D132" s="9"/>
      <c r="E132" t="s" s="8">
        <v>14</v>
      </c>
      <c r="F132" t="s" s="8">
        <v>6</v>
      </c>
      <c r="G132" s="16">
        <v>2029</v>
      </c>
      <c r="H132" t="s" s="8">
        <v>6</v>
      </c>
      <c r="I132" s="16">
        <v>2210</v>
      </c>
      <c r="J132" t="s" s="8">
        <v>6</v>
      </c>
      <c r="K132" s="40"/>
      <c r="L132" t="s" s="8">
        <v>6</v>
      </c>
      <c r="M132" s="18"/>
      <c r="N132" t="s" s="8">
        <v>6</v>
      </c>
      <c r="O132" s="18"/>
      <c r="P132" t="s" s="8">
        <v>6</v>
      </c>
      <c r="Q132" s="18"/>
      <c r="R132" t="s" s="8">
        <v>6</v>
      </c>
      <c r="S132" s="18"/>
      <c r="T132" t="s" s="8">
        <v>6</v>
      </c>
      <c r="U132" s="18"/>
      <c r="V132" t="s" s="8">
        <v>6</v>
      </c>
      <c r="W132" s="18"/>
      <c r="X132" t="s" s="8">
        <v>6</v>
      </c>
      <c r="Y132" s="16">
        <v>1028</v>
      </c>
      <c r="Z132" t="s" s="8">
        <v>6</v>
      </c>
      <c r="AA132" s="16">
        <v>1846</v>
      </c>
      <c r="AB132" t="s" s="8">
        <v>6</v>
      </c>
      <c r="AC132" s="16">
        <v>1870</v>
      </c>
      <c r="AD132" s="131"/>
      <c r="AE132" s="13"/>
      <c r="AF132" s="7"/>
    </row>
    <row r="133" ht="13.55" customHeight="1">
      <c r="A133" s="137"/>
      <c r="B133" t="s" s="8">
        <v>240</v>
      </c>
      <c r="C133" s="9"/>
      <c r="D133" s="9"/>
      <c r="E133" s="9"/>
      <c r="F133" t="s" s="8">
        <v>8</v>
      </c>
      <c r="G133" s="26">
        <v>600</v>
      </c>
      <c r="H133" t="s" s="8">
        <v>8</v>
      </c>
      <c r="I133" s="26">
        <v>600</v>
      </c>
      <c r="J133" t="s" s="8">
        <v>8</v>
      </c>
      <c r="K133" s="41"/>
      <c r="L133" t="s" s="8">
        <v>8</v>
      </c>
      <c r="M133" s="27"/>
      <c r="N133" t="s" s="8">
        <v>8</v>
      </c>
      <c r="O133" s="27"/>
      <c r="P133" t="s" s="8">
        <v>8</v>
      </c>
      <c r="Q133" s="27"/>
      <c r="R133" t="s" s="8">
        <v>8</v>
      </c>
      <c r="S133" s="27"/>
      <c r="T133" t="s" s="8">
        <v>8</v>
      </c>
      <c r="U133" s="27"/>
      <c r="V133" t="s" s="8">
        <v>8</v>
      </c>
      <c r="W133" s="27"/>
      <c r="X133" t="s" s="8">
        <v>8</v>
      </c>
      <c r="Y133" s="26">
        <v>500</v>
      </c>
      <c r="Z133" t="s" s="8">
        <v>8</v>
      </c>
      <c r="AA133" s="26">
        <v>500</v>
      </c>
      <c r="AB133" t="s" s="8">
        <v>8</v>
      </c>
      <c r="AC133" s="26">
        <v>500</v>
      </c>
      <c r="AD133" s="131" cm="1">
        <f t="array" ref="AD133">G133+I133+K133+M133+O133+Q133+S133+U133+W133+Y133+AA133+AC133</f>
      </c>
      <c r="AE133" s="50" cm="1">
        <f t="array" ref="AE133">500*11</f>
        <v>5500</v>
      </c>
      <c r="AF133" s="7" cm="1">
        <f t="array" ref="AF133">AE133-AD133</f>
      </c>
    </row>
    <row r="134" ht="13.55" customHeight="1">
      <c r="A134" s="137"/>
      <c r="B134" s="9"/>
      <c r="C134" s="9"/>
      <c r="D134" s="9"/>
      <c r="E134" s="9"/>
      <c r="F134" t="s" s="8">
        <v>10</v>
      </c>
      <c r="G134" t="s" s="33">
        <v>17</v>
      </c>
      <c r="H134" t="s" s="8">
        <v>10</v>
      </c>
      <c r="I134" t="s" s="33">
        <v>64</v>
      </c>
      <c r="J134" t="s" s="8">
        <v>10</v>
      </c>
      <c r="K134" s="45"/>
      <c r="L134" t="s" s="8">
        <v>10</v>
      </c>
      <c r="M134" s="34"/>
      <c r="N134" t="s" s="8">
        <v>10</v>
      </c>
      <c r="O134" s="34"/>
      <c r="P134" t="s" s="8">
        <v>10</v>
      </c>
      <c r="Q134" s="34"/>
      <c r="R134" t="s" s="8">
        <v>10</v>
      </c>
      <c r="S134" s="34"/>
      <c r="T134" t="s" s="8">
        <v>10</v>
      </c>
      <c r="U134" s="34"/>
      <c r="V134" t="s" s="8">
        <v>10</v>
      </c>
      <c r="W134" s="34"/>
      <c r="X134" t="s" s="8">
        <v>10</v>
      </c>
      <c r="Y134" t="s" s="33">
        <v>236</v>
      </c>
      <c r="Z134" t="s" s="8">
        <v>10</v>
      </c>
      <c r="AA134" t="s" s="33">
        <v>237</v>
      </c>
      <c r="AB134" t="s" s="8">
        <v>10</v>
      </c>
      <c r="AC134" t="s" s="33">
        <v>238</v>
      </c>
      <c r="AD134" s="131"/>
      <c r="AE134" s="13"/>
      <c r="AF134" s="7"/>
    </row>
    <row r="135" ht="13.5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31"/>
      <c r="AE135" s="13"/>
      <c r="AF135" s="7"/>
    </row>
    <row r="136" ht="13.75" customHeight="1">
      <c r="A136" s="136">
        <v>20</v>
      </c>
      <c r="B136" t="s" s="130">
        <v>241</v>
      </c>
      <c r="C136" s="9"/>
      <c r="D136" s="9"/>
      <c r="E136" t="s" s="8">
        <v>5</v>
      </c>
      <c r="F136" t="s" s="8">
        <v>6</v>
      </c>
      <c r="G136" s="16">
        <v>1224</v>
      </c>
      <c r="H136" t="s" s="8">
        <v>6</v>
      </c>
      <c r="I136" s="18"/>
      <c r="J136" t="s" s="8">
        <v>6</v>
      </c>
      <c r="K136" s="18"/>
      <c r="L136" t="s" s="8">
        <v>6</v>
      </c>
      <c r="M136" s="18"/>
      <c r="N136" t="s" s="8">
        <v>6</v>
      </c>
      <c r="O136" s="18"/>
      <c r="P136" t="s" s="8">
        <v>6</v>
      </c>
      <c r="Q136" s="18"/>
      <c r="R136" t="s" s="8">
        <v>6</v>
      </c>
      <c r="S136" s="18"/>
      <c r="T136" t="s" s="8">
        <v>6</v>
      </c>
      <c r="U136" s="18"/>
      <c r="V136" t="s" s="8">
        <v>6</v>
      </c>
      <c r="W136" s="18"/>
      <c r="X136" t="s" s="8">
        <v>6</v>
      </c>
      <c r="Y136" s="16">
        <v>2447</v>
      </c>
      <c r="Z136" t="s" s="8">
        <v>6</v>
      </c>
      <c r="AA136" s="16">
        <v>2948</v>
      </c>
      <c r="AB136" t="s" s="8">
        <v>6</v>
      </c>
      <c r="AC136" s="16">
        <v>2948</v>
      </c>
      <c r="AD136" s="131"/>
      <c r="AE136" s="13"/>
      <c r="AF136" s="7"/>
    </row>
    <row r="137" ht="13.55" customHeight="1">
      <c r="A137" s="137"/>
      <c r="B137" s="9"/>
      <c r="C137" s="42"/>
      <c r="D137" s="42"/>
      <c r="E137" s="9"/>
      <c r="F137" t="s" s="8">
        <v>8</v>
      </c>
      <c r="G137" s="26">
        <v>900</v>
      </c>
      <c r="H137" t="s" s="8">
        <v>8</v>
      </c>
      <c r="I137" s="27"/>
      <c r="J137" t="s" s="8">
        <v>8</v>
      </c>
      <c r="K137" s="27"/>
      <c r="L137" t="s" s="8">
        <v>8</v>
      </c>
      <c r="M137" s="27"/>
      <c r="N137" t="s" s="8">
        <v>8</v>
      </c>
      <c r="O137" s="27"/>
      <c r="P137" t="s" s="8">
        <v>8</v>
      </c>
      <c r="Q137" s="27"/>
      <c r="R137" t="s" s="8">
        <v>8</v>
      </c>
      <c r="S137" s="27"/>
      <c r="T137" t="s" s="8">
        <v>8</v>
      </c>
      <c r="U137" s="27"/>
      <c r="V137" t="s" s="8">
        <v>8</v>
      </c>
      <c r="W137" s="27"/>
      <c r="X137" t="s" s="8">
        <v>8</v>
      </c>
      <c r="Y137" s="26">
        <v>850</v>
      </c>
      <c r="Z137" t="s" s="8">
        <v>8</v>
      </c>
      <c r="AA137" s="26">
        <v>850</v>
      </c>
      <c r="AB137" t="s" s="8">
        <v>8</v>
      </c>
      <c r="AC137" s="26">
        <v>850</v>
      </c>
      <c r="AD137" s="132" cm="1">
        <f t="array" ref="AD137">G137+I137+K137+M137+O137+Q137+S137+U137+W137+Y137+AA137+AC137</f>
        <v>3450</v>
      </c>
      <c r="AE137" s="50" cm="1">
        <f t="array" ref="AE137">850*12</f>
        <v>10200</v>
      </c>
      <c r="AF137" s="51" cm="1">
        <f t="array" ref="AF137">AE137-AD137</f>
        <v>6750</v>
      </c>
    </row>
    <row r="138" ht="13.55" customHeight="1">
      <c r="A138" s="137"/>
      <c r="B138" s="9"/>
      <c r="C138" t="s" s="8">
        <v>9</v>
      </c>
      <c r="D138" s="25">
        <v>1000</v>
      </c>
      <c r="E138" s="9"/>
      <c r="F138" t="s" s="8">
        <v>10</v>
      </c>
      <c r="G138" t="s" s="33">
        <v>47</v>
      </c>
      <c r="H138" t="s" s="8">
        <v>10</v>
      </c>
      <c r="I138" s="34"/>
      <c r="J138" t="s" s="8">
        <v>10</v>
      </c>
      <c r="K138" s="34"/>
      <c r="L138" t="s" s="8">
        <v>10</v>
      </c>
      <c r="M138" s="34"/>
      <c r="N138" t="s" s="8">
        <v>10</v>
      </c>
      <c r="O138" s="34"/>
      <c r="P138" t="s" s="8">
        <v>10</v>
      </c>
      <c r="Q138" s="34"/>
      <c r="R138" t="s" s="8">
        <v>10</v>
      </c>
      <c r="S138" s="34"/>
      <c r="T138" t="s" s="8">
        <v>10</v>
      </c>
      <c r="U138" s="34"/>
      <c r="V138" t="s" s="8">
        <v>10</v>
      </c>
      <c r="W138" s="34"/>
      <c r="X138" t="s" s="8">
        <v>10</v>
      </c>
      <c r="Y138" t="s" s="33">
        <v>242</v>
      </c>
      <c r="Z138" t="s" s="8">
        <v>10</v>
      </c>
      <c r="AA138" t="s" s="33">
        <v>243</v>
      </c>
      <c r="AB138" t="s" s="8">
        <v>10</v>
      </c>
      <c r="AC138" t="s" s="33">
        <v>243</v>
      </c>
      <c r="AD138" s="131"/>
      <c r="AE138" s="13"/>
      <c r="AF138" s="7"/>
    </row>
    <row r="139" ht="13.75" customHeight="1">
      <c r="A139" s="137"/>
      <c r="B139" t="s" s="8">
        <v>244</v>
      </c>
      <c r="C139" s="9"/>
      <c r="D139" s="9"/>
      <c r="E139" t="s" s="8">
        <v>14</v>
      </c>
      <c r="F139" t="s" s="8">
        <v>6</v>
      </c>
      <c r="G139" s="16">
        <v>2129</v>
      </c>
      <c r="H139" t="s" s="8">
        <v>6</v>
      </c>
      <c r="I139" s="18"/>
      <c r="J139" t="s" s="8">
        <v>6</v>
      </c>
      <c r="K139" s="145"/>
      <c r="L139" t="s" s="8">
        <v>6</v>
      </c>
      <c r="M139" s="18"/>
      <c r="N139" t="s" s="8">
        <v>6</v>
      </c>
      <c r="O139" s="18"/>
      <c r="P139" t="s" s="8">
        <v>6</v>
      </c>
      <c r="Q139" s="18"/>
      <c r="R139" t="s" s="8">
        <v>6</v>
      </c>
      <c r="S139" s="18"/>
      <c r="T139" t="s" s="8">
        <v>6</v>
      </c>
      <c r="U139" s="18"/>
      <c r="V139" t="s" s="8">
        <v>6</v>
      </c>
      <c r="W139" s="18"/>
      <c r="X139" t="s" s="8">
        <v>6</v>
      </c>
      <c r="Y139" s="16">
        <v>1720</v>
      </c>
      <c r="Z139" t="s" s="8">
        <v>6</v>
      </c>
      <c r="AA139" s="16">
        <v>1802</v>
      </c>
      <c r="AB139" t="s" s="8">
        <v>6</v>
      </c>
      <c r="AC139" s="16">
        <v>1802</v>
      </c>
      <c r="AD139" s="131"/>
      <c r="AE139" s="13"/>
      <c r="AF139" s="7"/>
    </row>
    <row r="140" ht="13.55" customHeight="1">
      <c r="A140" s="137"/>
      <c r="B140" t="s" s="8">
        <v>245</v>
      </c>
      <c r="C140" s="9"/>
      <c r="D140" s="9"/>
      <c r="E140" s="9"/>
      <c r="F140" t="s" s="8">
        <v>8</v>
      </c>
      <c r="G140" s="26">
        <v>800</v>
      </c>
      <c r="H140" t="s" s="8">
        <v>8</v>
      </c>
      <c r="I140" s="27"/>
      <c r="J140" t="s" s="8">
        <v>8</v>
      </c>
      <c r="K140" s="146"/>
      <c r="L140" t="s" s="8">
        <v>8</v>
      </c>
      <c r="M140" s="27"/>
      <c r="N140" t="s" s="8">
        <v>8</v>
      </c>
      <c r="O140" s="27"/>
      <c r="P140" t="s" s="8">
        <v>8</v>
      </c>
      <c r="Q140" s="27"/>
      <c r="R140" t="s" s="8">
        <v>8</v>
      </c>
      <c r="S140" s="27"/>
      <c r="T140" t="s" s="8">
        <v>8</v>
      </c>
      <c r="U140" s="27"/>
      <c r="V140" t="s" s="8">
        <v>8</v>
      </c>
      <c r="W140" s="27"/>
      <c r="X140" t="s" s="8">
        <v>8</v>
      </c>
      <c r="Y140" s="26">
        <v>700</v>
      </c>
      <c r="Z140" t="s" s="8">
        <v>8</v>
      </c>
      <c r="AA140" s="26">
        <v>700</v>
      </c>
      <c r="AB140" t="s" s="8">
        <v>8</v>
      </c>
      <c r="AC140" s="26">
        <v>700</v>
      </c>
      <c r="AD140" s="131" cm="1">
        <f t="array" ref="AD140">G140+I140+K140+M140+O140+Q140+S140+U140+W140+Y140+AA140+AC140</f>
      </c>
      <c r="AE140" s="50" cm="1">
        <f t="array" ref="AE140">700*11</f>
        <v>7700</v>
      </c>
      <c r="AF140" s="7" cm="1">
        <f t="array" ref="AF140">AE140-AD140</f>
      </c>
    </row>
    <row r="141" ht="13.55" customHeight="1">
      <c r="A141" s="137"/>
      <c r="B141" s="23"/>
      <c r="C141" s="9"/>
      <c r="D141" s="9"/>
      <c r="E141" s="9"/>
      <c r="F141" t="s" s="8">
        <v>10</v>
      </c>
      <c r="G141" t="s" s="33">
        <v>246</v>
      </c>
      <c r="H141" t="s" s="8">
        <v>10</v>
      </c>
      <c r="I141" s="34"/>
      <c r="J141" t="s" s="8">
        <v>10</v>
      </c>
      <c r="K141" s="147"/>
      <c r="L141" t="s" s="8">
        <v>10</v>
      </c>
      <c r="M141" s="34"/>
      <c r="N141" t="s" s="8">
        <v>10</v>
      </c>
      <c r="O141" s="34"/>
      <c r="P141" t="s" s="8">
        <v>10</v>
      </c>
      <c r="Q141" s="34"/>
      <c r="R141" t="s" s="8">
        <v>10</v>
      </c>
      <c r="S141" s="34"/>
      <c r="T141" t="s" s="8">
        <v>10</v>
      </c>
      <c r="U141" s="34"/>
      <c r="V141" t="s" s="8">
        <v>10</v>
      </c>
      <c r="W141" s="34"/>
      <c r="X141" t="s" s="8">
        <v>10</v>
      </c>
      <c r="Y141" t="s" s="33">
        <v>242</v>
      </c>
      <c r="Z141" t="s" s="8">
        <v>10</v>
      </c>
      <c r="AA141" t="s" s="33">
        <v>243</v>
      </c>
      <c r="AB141" t="s" s="8">
        <v>10</v>
      </c>
      <c r="AC141" t="s" s="33">
        <v>243</v>
      </c>
      <c r="AD141" s="131"/>
      <c r="AE141" s="13"/>
      <c r="AF141" s="7"/>
    </row>
    <row r="142" ht="13.55" customHeight="1">
      <c r="A142" s="131"/>
      <c r="B142" s="131"/>
      <c r="C142" s="131"/>
      <c r="D142" s="131"/>
      <c r="E142" s="9"/>
      <c r="F142" s="9"/>
      <c r="G142" s="131"/>
      <c r="H142" s="9"/>
      <c r="I142" s="131"/>
      <c r="J142" s="9"/>
      <c r="K142" s="131"/>
      <c r="L142" s="9"/>
      <c r="M142" s="131"/>
      <c r="N142" s="9"/>
      <c r="O142" s="131"/>
      <c r="P142" s="9"/>
      <c r="Q142" s="131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31"/>
      <c r="AE142" s="13"/>
      <c r="AF142" s="7"/>
    </row>
    <row r="143" ht="13.75" customHeight="1">
      <c r="A143" s="136">
        <v>21</v>
      </c>
      <c r="B143" t="s" s="130">
        <v>247</v>
      </c>
      <c r="C143" s="9"/>
      <c r="D143" s="9"/>
      <c r="E143" t="s" s="8">
        <v>5</v>
      </c>
      <c r="F143" t="s" s="8">
        <v>6</v>
      </c>
      <c r="G143" s="16">
        <v>1185</v>
      </c>
      <c r="H143" t="s" s="8">
        <v>6</v>
      </c>
      <c r="I143" s="16">
        <v>3163</v>
      </c>
      <c r="J143" t="s" s="8">
        <v>6</v>
      </c>
      <c r="K143" s="16">
        <v>3163</v>
      </c>
      <c r="L143" t="s" s="8">
        <v>6</v>
      </c>
      <c r="M143" s="18"/>
      <c r="N143" t="s" s="8">
        <v>6</v>
      </c>
      <c r="O143" s="18"/>
      <c r="P143" t="s" s="8">
        <v>6</v>
      </c>
      <c r="Q143" s="18"/>
      <c r="R143" t="s" s="8">
        <v>6</v>
      </c>
      <c r="S143" s="18"/>
      <c r="T143" t="s" s="8">
        <v>6</v>
      </c>
      <c r="U143" s="18"/>
      <c r="V143" t="s" s="8">
        <v>6</v>
      </c>
      <c r="W143" s="18"/>
      <c r="X143" t="s" s="8">
        <v>6</v>
      </c>
      <c r="Y143" s="16">
        <v>2361</v>
      </c>
      <c r="Z143" t="s" s="8">
        <v>6</v>
      </c>
      <c r="AA143" s="16">
        <v>2491</v>
      </c>
      <c r="AB143" t="s" s="8">
        <v>6</v>
      </c>
      <c r="AC143" s="16">
        <v>3061</v>
      </c>
      <c r="AD143" s="131"/>
      <c r="AE143" s="13"/>
      <c r="AF143" s="7"/>
    </row>
    <row r="144" ht="13.55" customHeight="1">
      <c r="A144" s="137"/>
      <c r="B144" s="9"/>
      <c r="C144" s="42"/>
      <c r="D144" s="42"/>
      <c r="E144" s="9"/>
      <c r="F144" t="s" s="8">
        <v>8</v>
      </c>
      <c r="G144" s="26">
        <v>900</v>
      </c>
      <c r="H144" t="s" s="8">
        <v>8</v>
      </c>
      <c r="I144" s="26">
        <v>900</v>
      </c>
      <c r="J144" t="s" s="8">
        <v>8</v>
      </c>
      <c r="K144" s="26">
        <v>900</v>
      </c>
      <c r="L144" t="s" s="8">
        <v>8</v>
      </c>
      <c r="M144" s="27"/>
      <c r="N144" t="s" s="8">
        <v>8</v>
      </c>
      <c r="O144" s="27"/>
      <c r="P144" t="s" s="8">
        <v>8</v>
      </c>
      <c r="Q144" s="27"/>
      <c r="R144" t="s" s="8">
        <v>8</v>
      </c>
      <c r="S144" s="27"/>
      <c r="T144" t="s" s="8">
        <v>8</v>
      </c>
      <c r="U144" s="27"/>
      <c r="V144" t="s" s="8">
        <v>8</v>
      </c>
      <c r="W144" s="27"/>
      <c r="X144" t="s" s="8">
        <v>8</v>
      </c>
      <c r="Y144" s="26">
        <v>850</v>
      </c>
      <c r="Z144" t="s" s="8">
        <v>8</v>
      </c>
      <c r="AA144" s="26">
        <v>850</v>
      </c>
      <c r="AB144" t="s" s="8">
        <v>8</v>
      </c>
      <c r="AC144" s="26">
        <v>850</v>
      </c>
      <c r="AD144" s="132" cm="1">
        <f t="array" ref="AD144">G144+I144+K144+M144+O144+Q144+S144+U144+W144+Y144+AA144+AC144</f>
        <v>5250</v>
      </c>
      <c r="AE144" s="50" cm="1">
        <f t="array" ref="AE144">850*12</f>
        <v>10200</v>
      </c>
      <c r="AF144" s="51" cm="1">
        <f t="array" ref="AF144">AE144-AD144</f>
        <v>4950</v>
      </c>
    </row>
    <row r="145" ht="13.55" customHeight="1">
      <c r="A145" s="137"/>
      <c r="B145" s="9"/>
      <c r="C145" t="s" s="8">
        <v>9</v>
      </c>
      <c r="D145" s="25">
        <v>1000</v>
      </c>
      <c r="E145" s="9"/>
      <c r="F145" t="s" s="8">
        <v>10</v>
      </c>
      <c r="G145" t="s" s="33">
        <v>39</v>
      </c>
      <c r="H145" t="s" s="8">
        <v>10</v>
      </c>
      <c r="I145" t="s" s="33">
        <v>142</v>
      </c>
      <c r="J145" t="s" s="8">
        <v>10</v>
      </c>
      <c r="K145" t="s" s="33">
        <v>142</v>
      </c>
      <c r="L145" t="s" s="8">
        <v>10</v>
      </c>
      <c r="M145" s="34"/>
      <c r="N145" t="s" s="8">
        <v>10</v>
      </c>
      <c r="O145" s="34"/>
      <c r="P145" t="s" s="8">
        <v>10</v>
      </c>
      <c r="Q145" s="34"/>
      <c r="R145" t="s" s="8">
        <v>10</v>
      </c>
      <c r="S145" s="34"/>
      <c r="T145" t="s" s="8">
        <v>10</v>
      </c>
      <c r="U145" s="34"/>
      <c r="V145" t="s" s="8">
        <v>10</v>
      </c>
      <c r="W145" s="34"/>
      <c r="X145" t="s" s="8">
        <v>10</v>
      </c>
      <c r="Y145" t="s" s="33">
        <v>236</v>
      </c>
      <c r="Z145" t="s" s="8">
        <v>10</v>
      </c>
      <c r="AA145" t="s" s="33">
        <v>222</v>
      </c>
      <c r="AB145" t="s" s="8">
        <v>10</v>
      </c>
      <c r="AC145" t="s" s="33">
        <v>248</v>
      </c>
      <c r="AD145" s="131"/>
      <c r="AE145" s="13"/>
      <c r="AF145" s="7"/>
    </row>
    <row r="146" ht="13.75" customHeight="1">
      <c r="A146" s="137"/>
      <c r="B146" t="s" s="8">
        <v>249</v>
      </c>
      <c r="C146" s="9"/>
      <c r="D146" s="9"/>
      <c r="E146" t="s" s="8">
        <v>14</v>
      </c>
      <c r="F146" t="s" s="8">
        <v>6</v>
      </c>
      <c r="G146" s="16">
        <v>2099</v>
      </c>
      <c r="H146" t="s" s="8">
        <v>6</v>
      </c>
      <c r="I146" s="16">
        <v>2149</v>
      </c>
      <c r="J146" t="s" s="8">
        <v>6</v>
      </c>
      <c r="K146" s="148"/>
      <c r="L146" t="s" s="8">
        <v>6</v>
      </c>
      <c r="M146" s="16">
        <v>2149</v>
      </c>
      <c r="N146" t="s" s="8">
        <v>6</v>
      </c>
      <c r="O146" s="18"/>
      <c r="P146" t="s" s="8">
        <v>6</v>
      </c>
      <c r="Q146" s="18"/>
      <c r="R146" t="s" s="8">
        <v>6</v>
      </c>
      <c r="S146" s="18"/>
      <c r="T146" t="s" s="8">
        <v>6</v>
      </c>
      <c r="U146" s="18"/>
      <c r="V146" t="s" s="8">
        <v>6</v>
      </c>
      <c r="W146" s="18"/>
      <c r="X146" t="s" s="8">
        <v>6</v>
      </c>
      <c r="Y146" s="16">
        <v>999</v>
      </c>
      <c r="Z146" t="s" s="8">
        <v>6</v>
      </c>
      <c r="AA146" s="16">
        <v>1755</v>
      </c>
      <c r="AB146" t="s" s="8">
        <v>6</v>
      </c>
      <c r="AC146" s="16">
        <v>1896</v>
      </c>
      <c r="AD146" s="131"/>
      <c r="AE146" s="13"/>
      <c r="AF146" s="7"/>
    </row>
    <row r="147" ht="13.55" customHeight="1">
      <c r="A147" s="137"/>
      <c r="B147" t="s" s="8">
        <v>250</v>
      </c>
      <c r="C147" s="9"/>
      <c r="D147" s="9"/>
      <c r="E147" s="9"/>
      <c r="F147" t="s" s="8">
        <v>8</v>
      </c>
      <c r="G147" s="26">
        <v>600</v>
      </c>
      <c r="H147" t="s" s="8">
        <v>8</v>
      </c>
      <c r="I147" s="26">
        <v>600</v>
      </c>
      <c r="J147" t="s" s="8">
        <v>8</v>
      </c>
      <c r="K147" s="149"/>
      <c r="L147" t="s" s="8">
        <v>8</v>
      </c>
      <c r="M147" s="26">
        <v>600</v>
      </c>
      <c r="N147" t="s" s="8">
        <v>8</v>
      </c>
      <c r="O147" s="27"/>
      <c r="P147" t="s" s="8">
        <v>8</v>
      </c>
      <c r="Q147" s="27"/>
      <c r="R147" t="s" s="8">
        <v>8</v>
      </c>
      <c r="S147" s="27"/>
      <c r="T147" t="s" s="8">
        <v>8</v>
      </c>
      <c r="U147" s="27"/>
      <c r="V147" t="s" s="8">
        <v>8</v>
      </c>
      <c r="W147" s="27"/>
      <c r="X147" t="s" s="8">
        <v>8</v>
      </c>
      <c r="Y147" s="26">
        <v>500</v>
      </c>
      <c r="Z147" t="s" s="8">
        <v>8</v>
      </c>
      <c r="AA147" s="26">
        <v>500</v>
      </c>
      <c r="AB147" t="s" s="8">
        <v>8</v>
      </c>
      <c r="AC147" s="26">
        <v>500</v>
      </c>
      <c r="AD147" s="131" cm="1">
        <f t="array" ref="AD147">G147+I147+K147+M147+O147+Q147+S147+U147+W147+Y147+AA147+AC147</f>
      </c>
      <c r="AE147" s="50" cm="1">
        <f t="array" ref="AE147">500*11</f>
        <v>5500</v>
      </c>
      <c r="AF147" s="7" cm="1">
        <f t="array" ref="AF147">AE147-AD147</f>
      </c>
    </row>
    <row r="148" ht="13.55" customHeight="1">
      <c r="A148" s="137"/>
      <c r="B148" s="23"/>
      <c r="C148" s="9"/>
      <c r="D148" s="9"/>
      <c r="E148" s="9"/>
      <c r="F148" t="s" s="8">
        <v>10</v>
      </c>
      <c r="G148" t="s" s="33">
        <v>39</v>
      </c>
      <c r="H148" t="s" s="8">
        <v>10</v>
      </c>
      <c r="I148" t="s" s="33">
        <v>142</v>
      </c>
      <c r="J148" t="s" s="8">
        <v>10</v>
      </c>
      <c r="K148" s="150"/>
      <c r="L148" t="s" s="8">
        <v>10</v>
      </c>
      <c r="M148" t="s" s="33">
        <v>142</v>
      </c>
      <c r="N148" t="s" s="8">
        <v>10</v>
      </c>
      <c r="O148" s="34"/>
      <c r="P148" t="s" s="8">
        <v>10</v>
      </c>
      <c r="Q148" s="34"/>
      <c r="R148" t="s" s="8">
        <v>10</v>
      </c>
      <c r="S148" s="34"/>
      <c r="T148" t="s" s="8">
        <v>10</v>
      </c>
      <c r="U148" s="34"/>
      <c r="V148" t="s" s="8">
        <v>10</v>
      </c>
      <c r="W148" s="34"/>
      <c r="X148" t="s" s="8">
        <v>10</v>
      </c>
      <c r="Y148" t="s" s="33">
        <v>236</v>
      </c>
      <c r="Z148" t="s" s="8">
        <v>10</v>
      </c>
      <c r="AA148" t="s" s="33">
        <v>222</v>
      </c>
      <c r="AB148" t="s" s="8">
        <v>10</v>
      </c>
      <c r="AC148" t="s" s="33">
        <v>248</v>
      </c>
      <c r="AD148" s="131"/>
      <c r="AE148" s="13"/>
      <c r="AF148" s="7"/>
    </row>
    <row r="149" ht="13.55" customHeight="1">
      <c r="A149" s="131"/>
      <c r="B149" s="131"/>
      <c r="C149" s="131"/>
      <c r="D149" s="131"/>
      <c r="E149" s="9"/>
      <c r="F149" s="9"/>
      <c r="G149" s="27"/>
      <c r="H149" s="9"/>
      <c r="I149" s="27"/>
      <c r="J149" s="9"/>
      <c r="K149" s="27"/>
      <c r="L149" s="9"/>
      <c r="M149" s="27"/>
      <c r="N149" s="9"/>
      <c r="O149" s="27"/>
      <c r="P149" s="9"/>
      <c r="Q149" s="27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31"/>
      <c r="AE149" s="13"/>
      <c r="AF149" s="7"/>
    </row>
    <row r="150" ht="13.75" customHeight="1">
      <c r="A150" s="136">
        <v>22</v>
      </c>
      <c r="B150" t="s" s="130">
        <v>251</v>
      </c>
      <c r="C150" s="9"/>
      <c r="D150" s="9"/>
      <c r="E150" t="s" s="8">
        <v>5</v>
      </c>
      <c r="F150" t="s" s="8">
        <v>6</v>
      </c>
      <c r="G150" s="16">
        <v>1151</v>
      </c>
      <c r="H150" t="s" s="8">
        <v>6</v>
      </c>
      <c r="I150" s="18"/>
      <c r="J150" t="s" s="8">
        <v>6</v>
      </c>
      <c r="K150" s="18"/>
      <c r="L150" t="s" s="8">
        <v>6</v>
      </c>
      <c r="M150" s="18"/>
      <c r="N150" t="s" s="8">
        <v>6</v>
      </c>
      <c r="O150" s="18"/>
      <c r="P150" t="s" s="8">
        <v>6</v>
      </c>
      <c r="Q150" s="18"/>
      <c r="R150" t="s" s="8">
        <v>6</v>
      </c>
      <c r="S150" s="18"/>
      <c r="T150" t="s" s="8">
        <v>6</v>
      </c>
      <c r="U150" s="18"/>
      <c r="V150" t="s" s="8">
        <v>6</v>
      </c>
      <c r="W150" s="18"/>
      <c r="X150" t="s" s="8">
        <v>6</v>
      </c>
      <c r="Y150" s="16">
        <v>2184</v>
      </c>
      <c r="Z150" t="s" s="8">
        <v>6</v>
      </c>
      <c r="AA150" s="16">
        <v>2465</v>
      </c>
      <c r="AB150" t="s" s="8">
        <v>6</v>
      </c>
      <c r="AC150" s="16">
        <v>2465</v>
      </c>
      <c r="AD150" s="131"/>
      <c r="AE150" s="13"/>
      <c r="AF150" s="7"/>
    </row>
    <row r="151" ht="13.55" customHeight="1">
      <c r="A151" s="137"/>
      <c r="B151" s="56"/>
      <c r="C151" s="42"/>
      <c r="D151" s="42"/>
      <c r="E151" s="9"/>
      <c r="F151" t="s" s="8">
        <v>8</v>
      </c>
      <c r="G151" s="26">
        <v>900</v>
      </c>
      <c r="H151" t="s" s="8">
        <v>8</v>
      </c>
      <c r="I151" s="27"/>
      <c r="J151" t="s" s="8">
        <v>8</v>
      </c>
      <c r="K151" s="27"/>
      <c r="L151" t="s" s="8">
        <v>8</v>
      </c>
      <c r="M151" s="27"/>
      <c r="N151" t="s" s="8">
        <v>8</v>
      </c>
      <c r="O151" s="27"/>
      <c r="P151" t="s" s="8">
        <v>8</v>
      </c>
      <c r="Q151" s="27"/>
      <c r="R151" t="s" s="8">
        <v>8</v>
      </c>
      <c r="S151" s="27"/>
      <c r="T151" t="s" s="8">
        <v>8</v>
      </c>
      <c r="U151" s="27"/>
      <c r="V151" t="s" s="8">
        <v>8</v>
      </c>
      <c r="W151" s="27"/>
      <c r="X151" t="s" s="8">
        <v>8</v>
      </c>
      <c r="Y151" s="26">
        <v>425</v>
      </c>
      <c r="Z151" t="s" s="8">
        <v>8</v>
      </c>
      <c r="AA151" s="26">
        <v>425</v>
      </c>
      <c r="AB151" t="s" s="8">
        <v>8</v>
      </c>
      <c r="AC151" s="26">
        <v>425</v>
      </c>
      <c r="AD151" s="132" cm="1">
        <f t="array" ref="AD151">G151+I151+K151+M151+O151+Q151+S151+U151+W151+Y151+AA151+AC151</f>
        <v>2175</v>
      </c>
      <c r="AE151" s="50" cm="1">
        <f t="array" ref="AE151">425*12</f>
        <v>5100</v>
      </c>
      <c r="AF151" s="51" cm="1">
        <f t="array" ref="AF151">AE151-AD151</f>
        <v>2925</v>
      </c>
    </row>
    <row r="152" ht="13.55" customHeight="1">
      <c r="A152" s="137"/>
      <c r="B152" s="9"/>
      <c r="C152" t="s" s="8">
        <v>9</v>
      </c>
      <c r="D152" s="25">
        <v>1000</v>
      </c>
      <c r="E152" s="9"/>
      <c r="F152" t="s" s="8">
        <v>10</v>
      </c>
      <c r="G152" t="s" s="33">
        <v>70</v>
      </c>
      <c r="H152" t="s" s="8">
        <v>10</v>
      </c>
      <c r="I152" s="34"/>
      <c r="J152" t="s" s="8">
        <v>10</v>
      </c>
      <c r="K152" s="34"/>
      <c r="L152" t="s" s="8">
        <v>10</v>
      </c>
      <c r="M152" s="34"/>
      <c r="N152" t="s" s="8">
        <v>10</v>
      </c>
      <c r="O152" s="34"/>
      <c r="P152" t="s" s="8">
        <v>10</v>
      </c>
      <c r="Q152" s="34"/>
      <c r="R152" t="s" s="8">
        <v>10</v>
      </c>
      <c r="S152" s="34"/>
      <c r="T152" t="s" s="8">
        <v>10</v>
      </c>
      <c r="U152" s="34"/>
      <c r="V152" t="s" s="8">
        <v>10</v>
      </c>
      <c r="W152" s="34"/>
      <c r="X152" t="s" s="8">
        <v>10</v>
      </c>
      <c r="Y152" t="s" s="33">
        <v>221</v>
      </c>
      <c r="Z152" t="s" s="8">
        <v>10</v>
      </c>
      <c r="AA152" t="s" s="33">
        <v>160</v>
      </c>
      <c r="AB152" t="s" s="8">
        <v>10</v>
      </c>
      <c r="AC152" t="s" s="33">
        <v>160</v>
      </c>
      <c r="AD152" s="131"/>
      <c r="AE152" s="13"/>
      <c r="AF152" s="7"/>
    </row>
    <row r="153" ht="13.55" customHeight="1">
      <c r="A153" s="137"/>
      <c r="B153" t="s" s="8">
        <v>252</v>
      </c>
      <c r="C153" s="9"/>
      <c r="D153" s="9"/>
      <c r="E153" t="s" s="8">
        <v>14</v>
      </c>
      <c r="F153" t="s" s="8">
        <v>6</v>
      </c>
      <c r="G153" s="148"/>
      <c r="H153" t="s" s="8">
        <v>6</v>
      </c>
      <c r="I153" s="42"/>
      <c r="J153" t="s" s="8">
        <v>6</v>
      </c>
      <c r="K153" s="42"/>
      <c r="L153" t="s" s="8">
        <v>6</v>
      </c>
      <c r="M153" s="148"/>
      <c r="N153" t="s" s="8">
        <v>6</v>
      </c>
      <c r="O153" s="148"/>
      <c r="P153" t="s" s="8">
        <v>6</v>
      </c>
      <c r="Q153" s="131"/>
      <c r="R153" t="s" s="8">
        <v>6</v>
      </c>
      <c r="S153" s="131"/>
      <c r="T153" t="s" s="8">
        <v>6</v>
      </c>
      <c r="U153" s="131"/>
      <c r="V153" t="s" s="8">
        <v>6</v>
      </c>
      <c r="W153" s="40"/>
      <c r="X153" t="s" s="8">
        <v>6</v>
      </c>
      <c r="Y153" s="9"/>
      <c r="Z153" t="s" s="8">
        <v>6</v>
      </c>
      <c r="AA153" s="9"/>
      <c r="AB153" t="s" s="8">
        <v>6</v>
      </c>
      <c r="AC153" s="9"/>
      <c r="AD153" s="131"/>
      <c r="AE153" s="13"/>
      <c r="AF153" s="7"/>
    </row>
    <row r="154" ht="13.55" customHeight="1">
      <c r="A154" s="137"/>
      <c r="B154" t="s" s="8">
        <v>253</v>
      </c>
      <c r="C154" s="9"/>
      <c r="D154" s="9"/>
      <c r="E154" s="9"/>
      <c r="F154" t="s" s="8">
        <v>8</v>
      </c>
      <c r="G154" s="149"/>
      <c r="H154" t="s" s="8">
        <v>8</v>
      </c>
      <c r="I154" s="42"/>
      <c r="J154" t="s" s="8">
        <v>8</v>
      </c>
      <c r="K154" s="42"/>
      <c r="L154" t="s" s="8">
        <v>8</v>
      </c>
      <c r="M154" s="149"/>
      <c r="N154" t="s" s="8">
        <v>8</v>
      </c>
      <c r="O154" s="149"/>
      <c r="P154" t="s" s="8">
        <v>8</v>
      </c>
      <c r="Q154" s="27"/>
      <c r="R154" t="s" s="8">
        <v>8</v>
      </c>
      <c r="S154" s="27"/>
      <c r="T154" t="s" s="8">
        <v>8</v>
      </c>
      <c r="U154" s="27"/>
      <c r="V154" t="s" s="8">
        <v>8</v>
      </c>
      <c r="W154" s="41"/>
      <c r="X154" t="s" s="8">
        <v>8</v>
      </c>
      <c r="Y154" s="9"/>
      <c r="Z154" t="s" s="8">
        <v>8</v>
      </c>
      <c r="AA154" s="9"/>
      <c r="AB154" t="s" s="8">
        <v>8</v>
      </c>
      <c r="AC154" s="9"/>
      <c r="AD154" s="131" cm="1">
        <f t="array" ref="AD154">G154+I154+K154+M154+O154+Q154+S154+U154+W154+Y154+AA154+AC154</f>
      </c>
      <c r="AE154" s="13"/>
      <c r="AF154" s="7"/>
    </row>
    <row r="155" ht="13.55" customHeight="1">
      <c r="A155" s="137"/>
      <c r="B155" s="23"/>
      <c r="C155" s="9"/>
      <c r="D155" s="9"/>
      <c r="E155" s="9"/>
      <c r="F155" t="s" s="8">
        <v>10</v>
      </c>
      <c r="G155" s="150"/>
      <c r="H155" t="s" s="8">
        <v>10</v>
      </c>
      <c r="I155" s="42"/>
      <c r="J155" t="s" s="8">
        <v>10</v>
      </c>
      <c r="K155" s="42"/>
      <c r="L155" t="s" s="8">
        <v>10</v>
      </c>
      <c r="M155" s="150"/>
      <c r="N155" t="s" s="8">
        <v>10</v>
      </c>
      <c r="O155" s="150"/>
      <c r="P155" t="s" s="8">
        <v>10</v>
      </c>
      <c r="Q155" s="34"/>
      <c r="R155" t="s" s="8">
        <v>10</v>
      </c>
      <c r="S155" s="34"/>
      <c r="T155" t="s" s="8">
        <v>10</v>
      </c>
      <c r="U155" s="34"/>
      <c r="V155" t="s" s="8">
        <v>10</v>
      </c>
      <c r="W155" s="45"/>
      <c r="X155" t="s" s="8">
        <v>10</v>
      </c>
      <c r="Y155" s="9"/>
      <c r="Z155" t="s" s="8">
        <v>10</v>
      </c>
      <c r="AA155" s="9"/>
      <c r="AB155" t="s" s="8">
        <v>10</v>
      </c>
      <c r="AC155" s="9"/>
      <c r="AD155" s="131"/>
      <c r="AE155" s="13"/>
      <c r="AF155" s="7"/>
    </row>
    <row r="156" ht="13.5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31"/>
      <c r="AE156" s="13"/>
      <c r="AF156" s="7"/>
    </row>
    <row r="157" ht="13.75" customHeight="1">
      <c r="A157" s="151">
        <v>23</v>
      </c>
      <c r="B157" t="s" s="130">
        <v>254</v>
      </c>
      <c r="C157" s="9"/>
      <c r="D157" s="131"/>
      <c r="E157" t="s" s="8">
        <v>5</v>
      </c>
      <c r="F157" t="s" s="8">
        <v>6</v>
      </c>
      <c r="G157" s="16">
        <v>1123</v>
      </c>
      <c r="H157" t="s" s="8">
        <v>6</v>
      </c>
      <c r="I157" s="16">
        <v>3245</v>
      </c>
      <c r="J157" t="s" s="8">
        <v>6</v>
      </c>
      <c r="K157" s="18"/>
      <c r="L157" t="s" s="8">
        <v>6</v>
      </c>
      <c r="M157" s="18"/>
      <c r="N157" t="s" s="8">
        <v>6</v>
      </c>
      <c r="O157" s="18"/>
      <c r="P157" t="s" s="8">
        <v>6</v>
      </c>
      <c r="Q157" s="18"/>
      <c r="R157" t="s" s="8">
        <v>6</v>
      </c>
      <c r="S157" s="18"/>
      <c r="T157" t="s" s="8">
        <v>6</v>
      </c>
      <c r="U157" s="18"/>
      <c r="V157" t="s" s="8">
        <v>6</v>
      </c>
      <c r="W157" s="18"/>
      <c r="X157" t="s" s="8">
        <v>6</v>
      </c>
      <c r="Y157" s="16">
        <v>2305</v>
      </c>
      <c r="Z157" t="s" s="8">
        <v>6</v>
      </c>
      <c r="AA157" s="16">
        <v>2918</v>
      </c>
      <c r="AB157" t="s" s="8">
        <v>6</v>
      </c>
      <c r="AC157" s="16">
        <v>2918</v>
      </c>
      <c r="AD157" s="133"/>
      <c r="AE157" s="7"/>
      <c r="AF157" s="7"/>
    </row>
    <row r="158" ht="13.55" customHeight="1">
      <c r="A158" s="152"/>
      <c r="B158" s="56"/>
      <c r="C158" s="9"/>
      <c r="D158" s="153"/>
      <c r="E158" s="9"/>
      <c r="F158" t="s" s="8">
        <v>8</v>
      </c>
      <c r="G158" s="26">
        <v>900</v>
      </c>
      <c r="H158" t="s" s="8">
        <v>8</v>
      </c>
      <c r="I158" s="26">
        <v>900</v>
      </c>
      <c r="J158" t="s" s="8">
        <v>8</v>
      </c>
      <c r="K158" s="27"/>
      <c r="L158" t="s" s="8">
        <v>8</v>
      </c>
      <c r="M158" s="27"/>
      <c r="N158" t="s" s="8">
        <v>8</v>
      </c>
      <c r="O158" s="27"/>
      <c r="P158" t="s" s="8">
        <v>8</v>
      </c>
      <c r="Q158" s="27"/>
      <c r="R158" t="s" s="8">
        <v>8</v>
      </c>
      <c r="S158" s="27"/>
      <c r="T158" t="s" s="8">
        <v>8</v>
      </c>
      <c r="U158" s="27"/>
      <c r="V158" t="s" s="8">
        <v>8</v>
      </c>
      <c r="W158" s="27"/>
      <c r="X158" t="s" s="8">
        <v>8</v>
      </c>
      <c r="Y158" s="26">
        <v>850</v>
      </c>
      <c r="Z158" t="s" s="8">
        <v>8</v>
      </c>
      <c r="AA158" s="26">
        <v>850</v>
      </c>
      <c r="AB158" t="s" s="8">
        <v>8</v>
      </c>
      <c r="AC158" s="26">
        <v>850</v>
      </c>
      <c r="AD158" s="132" cm="1">
        <f t="array" ref="AD158">G158+I158+K158+M158+O158+Q158+S158+U158+W158+Y158+AA158+AC158</f>
        <v>4350</v>
      </c>
      <c r="AE158" s="50" cm="1">
        <f t="array" ref="AE158">850*12</f>
        <v>10200</v>
      </c>
      <c r="AF158" s="51" cm="1">
        <f t="array" ref="AF158">AE158-AD158</f>
        <v>5850</v>
      </c>
    </row>
    <row r="159" ht="13.55" customHeight="1">
      <c r="A159" s="152"/>
      <c r="B159" s="9"/>
      <c r="C159" t="s" s="8">
        <v>9</v>
      </c>
      <c r="D159" s="25">
        <v>1000</v>
      </c>
      <c r="E159" s="9"/>
      <c r="F159" t="s" s="8">
        <v>10</v>
      </c>
      <c r="G159" t="s" s="33">
        <v>93</v>
      </c>
      <c r="H159" t="s" s="8">
        <v>10</v>
      </c>
      <c r="I159" t="s" s="33">
        <v>64</v>
      </c>
      <c r="J159" t="s" s="8">
        <v>10</v>
      </c>
      <c r="K159" s="34"/>
      <c r="L159" t="s" s="8">
        <v>10</v>
      </c>
      <c r="M159" s="34"/>
      <c r="N159" t="s" s="8">
        <v>10</v>
      </c>
      <c r="O159" s="34"/>
      <c r="P159" t="s" s="8">
        <v>10</v>
      </c>
      <c r="Q159" s="34"/>
      <c r="R159" t="s" s="8">
        <v>10</v>
      </c>
      <c r="S159" s="34"/>
      <c r="T159" t="s" s="8">
        <v>10</v>
      </c>
      <c r="U159" s="34"/>
      <c r="V159" t="s" s="8">
        <v>10</v>
      </c>
      <c r="W159" s="34"/>
      <c r="X159" t="s" s="8">
        <v>10</v>
      </c>
      <c r="Y159" t="s" s="33">
        <v>181</v>
      </c>
      <c r="Z159" t="s" s="8">
        <v>10</v>
      </c>
      <c r="AA159" t="s" s="33">
        <v>186</v>
      </c>
      <c r="AB159" t="s" s="8">
        <v>10</v>
      </c>
      <c r="AC159" t="s" s="33">
        <v>186</v>
      </c>
      <c r="AD159" s="131"/>
      <c r="AE159" s="13"/>
      <c r="AF159" s="7"/>
    </row>
    <row r="160" ht="13.75" customHeight="1">
      <c r="A160" s="152"/>
      <c r="B160" t="s" s="8">
        <v>255</v>
      </c>
      <c r="C160" s="9"/>
      <c r="D160" s="23"/>
      <c r="E160" t="s" s="8">
        <v>14</v>
      </c>
      <c r="F160" t="s" s="8">
        <v>6</v>
      </c>
      <c r="G160" s="16">
        <v>2048</v>
      </c>
      <c r="H160" t="s" s="8">
        <v>6</v>
      </c>
      <c r="I160" s="16">
        <v>2210</v>
      </c>
      <c r="J160" t="s" s="8">
        <v>6</v>
      </c>
      <c r="K160" s="42"/>
      <c r="L160" t="s" s="8">
        <v>6</v>
      </c>
      <c r="M160" s="18"/>
      <c r="N160" t="s" s="8">
        <v>6</v>
      </c>
      <c r="O160" s="18"/>
      <c r="P160" t="s" s="8">
        <v>6</v>
      </c>
      <c r="Q160" s="18"/>
      <c r="R160" t="s" s="8">
        <v>6</v>
      </c>
      <c r="S160" s="18"/>
      <c r="T160" t="s" s="8">
        <v>6</v>
      </c>
      <c r="U160" s="18"/>
      <c r="V160" t="s" s="8">
        <v>6</v>
      </c>
      <c r="W160" s="18"/>
      <c r="X160" t="s" s="8">
        <v>6</v>
      </c>
      <c r="Y160" s="16">
        <v>955</v>
      </c>
      <c r="Z160" t="s" s="8">
        <v>6</v>
      </c>
      <c r="AA160" s="16">
        <v>1774</v>
      </c>
      <c r="AB160" t="s" s="8">
        <v>6</v>
      </c>
      <c r="AC160" s="16">
        <v>1774</v>
      </c>
      <c r="AD160" s="131"/>
      <c r="AE160" s="13"/>
      <c r="AF160" s="7"/>
    </row>
    <row r="161" ht="13.55" customHeight="1">
      <c r="A161" s="152"/>
      <c r="B161" t="s" s="8">
        <v>256</v>
      </c>
      <c r="C161" s="9"/>
      <c r="D161" s="23"/>
      <c r="E161" s="9"/>
      <c r="F161" t="s" s="8">
        <v>8</v>
      </c>
      <c r="G161" s="26">
        <v>600</v>
      </c>
      <c r="H161" t="s" s="8">
        <v>8</v>
      </c>
      <c r="I161" s="26">
        <v>600</v>
      </c>
      <c r="J161" t="s" s="8">
        <v>8</v>
      </c>
      <c r="K161" s="42"/>
      <c r="L161" t="s" s="8">
        <v>8</v>
      </c>
      <c r="M161" s="27"/>
      <c r="N161" t="s" s="8">
        <v>8</v>
      </c>
      <c r="O161" s="27"/>
      <c r="P161" t="s" s="8">
        <v>8</v>
      </c>
      <c r="Q161" s="27"/>
      <c r="R161" t="s" s="8">
        <v>8</v>
      </c>
      <c r="S161" s="27"/>
      <c r="T161" t="s" s="8">
        <v>8</v>
      </c>
      <c r="U161" s="27"/>
      <c r="V161" t="s" s="8">
        <v>8</v>
      </c>
      <c r="W161" s="27"/>
      <c r="X161" t="s" s="8">
        <v>8</v>
      </c>
      <c r="Y161" s="26">
        <v>500</v>
      </c>
      <c r="Z161" t="s" s="8">
        <v>8</v>
      </c>
      <c r="AA161" s="26">
        <v>500</v>
      </c>
      <c r="AB161" t="s" s="8">
        <v>8</v>
      </c>
      <c r="AC161" s="26">
        <v>500</v>
      </c>
      <c r="AD161" s="132" cm="1">
        <f t="array" ref="AD161">G161+I161+K161+M161+O161+Q161+S161+U161+W161+Y161+AA161+AC161</f>
        <v>2700</v>
      </c>
      <c r="AE161" s="50" cm="1">
        <f t="array" ref="AE161">500*11</f>
        <v>5500</v>
      </c>
      <c r="AF161" s="51" cm="1">
        <f t="array" ref="AF161">AE161-AD161</f>
        <v>2800</v>
      </c>
    </row>
    <row r="162" ht="13.55" customHeight="1">
      <c r="A162" s="152"/>
      <c r="B162" s="24"/>
      <c r="C162" s="9"/>
      <c r="D162" s="23"/>
      <c r="E162" s="9"/>
      <c r="F162" t="s" s="8">
        <v>10</v>
      </c>
      <c r="G162" t="s" s="33">
        <v>93</v>
      </c>
      <c r="H162" t="s" s="8">
        <v>10</v>
      </c>
      <c r="I162" t="s" s="33">
        <v>64</v>
      </c>
      <c r="J162" t="s" s="8">
        <v>10</v>
      </c>
      <c r="K162" s="42"/>
      <c r="L162" t="s" s="8">
        <v>10</v>
      </c>
      <c r="M162" s="34"/>
      <c r="N162" t="s" s="8">
        <v>10</v>
      </c>
      <c r="O162" s="34"/>
      <c r="P162" t="s" s="8">
        <v>10</v>
      </c>
      <c r="Q162" s="34"/>
      <c r="R162" t="s" s="8">
        <v>10</v>
      </c>
      <c r="S162" s="34"/>
      <c r="T162" t="s" s="8">
        <v>10</v>
      </c>
      <c r="U162" s="34"/>
      <c r="V162" t="s" s="8">
        <v>10</v>
      </c>
      <c r="W162" s="34"/>
      <c r="X162" t="s" s="8">
        <v>10</v>
      </c>
      <c r="Y162" t="s" s="33">
        <v>181</v>
      </c>
      <c r="Z162" t="s" s="8">
        <v>10</v>
      </c>
      <c r="AA162" t="s" s="33">
        <v>186</v>
      </c>
      <c r="AB162" t="s" s="8">
        <v>10</v>
      </c>
      <c r="AC162" t="s" s="33">
        <v>186</v>
      </c>
      <c r="AD162" s="72"/>
      <c r="AE162" s="7"/>
      <c r="AF162" s="7"/>
    </row>
    <row r="163" ht="13.55" customHeight="1">
      <c r="A163" s="23"/>
      <c r="B163" s="71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39"/>
      <c r="AC163" s="23"/>
      <c r="AD163" s="13"/>
      <c r="AE163" s="7"/>
      <c r="AF163" s="7"/>
    </row>
    <row r="164" ht="13.75" customHeight="1">
      <c r="A164" s="154">
        <v>24</v>
      </c>
      <c r="B164" t="s" s="130">
        <v>257</v>
      </c>
      <c r="C164" s="9"/>
      <c r="D164" s="23"/>
      <c r="E164" t="s" s="8">
        <v>5</v>
      </c>
      <c r="F164" t="s" s="8">
        <v>6</v>
      </c>
      <c r="G164" s="16">
        <v>1147</v>
      </c>
      <c r="H164" t="s" s="8">
        <v>6</v>
      </c>
      <c r="I164" s="16">
        <v>3196</v>
      </c>
      <c r="J164" t="s" s="8">
        <v>6</v>
      </c>
      <c r="K164" s="18"/>
      <c r="L164" t="s" s="8">
        <v>6</v>
      </c>
      <c r="M164" s="18"/>
      <c r="N164" t="s" s="8">
        <v>6</v>
      </c>
      <c r="O164" s="18"/>
      <c r="P164" t="s" s="8">
        <v>6</v>
      </c>
      <c r="Q164" s="18"/>
      <c r="R164" t="s" s="8">
        <v>6</v>
      </c>
      <c r="S164" s="18"/>
      <c r="T164" t="s" s="8">
        <v>6</v>
      </c>
      <c r="U164" s="18"/>
      <c r="V164" t="s" s="8">
        <v>6</v>
      </c>
      <c r="W164" s="18"/>
      <c r="X164" t="s" s="8">
        <v>6</v>
      </c>
      <c r="Y164" s="16">
        <v>2316</v>
      </c>
      <c r="Z164" t="s" s="8">
        <v>6</v>
      </c>
      <c r="AA164" s="16">
        <v>2485</v>
      </c>
      <c r="AB164" t="s" s="8">
        <v>6</v>
      </c>
      <c r="AC164" s="16">
        <v>3027</v>
      </c>
      <c r="AD164" s="71"/>
      <c r="AE164" s="7"/>
      <c r="AF164" s="7"/>
    </row>
    <row r="165" ht="13.55" customHeight="1">
      <c r="A165" s="155"/>
      <c r="B165" s="56"/>
      <c r="C165" s="9"/>
      <c r="D165" s="42"/>
      <c r="E165" s="9"/>
      <c r="F165" t="s" s="8">
        <v>8</v>
      </c>
      <c r="G165" s="26">
        <v>900</v>
      </c>
      <c r="H165" t="s" s="8">
        <v>8</v>
      </c>
      <c r="I165" s="26">
        <v>900</v>
      </c>
      <c r="J165" t="s" s="8">
        <v>8</v>
      </c>
      <c r="K165" s="27"/>
      <c r="L165" t="s" s="8">
        <v>8</v>
      </c>
      <c r="M165" s="27"/>
      <c r="N165" t="s" s="8">
        <v>8</v>
      </c>
      <c r="O165" s="27"/>
      <c r="P165" t="s" s="8">
        <v>8</v>
      </c>
      <c r="Q165" s="27"/>
      <c r="R165" t="s" s="8">
        <v>8</v>
      </c>
      <c r="S165" s="27"/>
      <c r="T165" t="s" s="8">
        <v>8</v>
      </c>
      <c r="U165" s="27"/>
      <c r="V165" t="s" s="8">
        <v>8</v>
      </c>
      <c r="W165" s="27"/>
      <c r="X165" t="s" s="8">
        <v>8</v>
      </c>
      <c r="Y165" s="26">
        <v>850</v>
      </c>
      <c r="Z165" t="s" s="8">
        <v>8</v>
      </c>
      <c r="AA165" s="26">
        <v>850</v>
      </c>
      <c r="AB165" t="s" s="8">
        <v>8</v>
      </c>
      <c r="AC165" s="26">
        <v>850</v>
      </c>
      <c r="AD165" s="132" cm="1">
        <f t="array" ref="AD165">G165+I165+K165+M165+O165+Q165+S165+U165+W165+Y165+AA165+AC165</f>
        <v>4350</v>
      </c>
      <c r="AE165" s="50" cm="1">
        <f t="array" ref="AE165">850*12</f>
        <v>10200</v>
      </c>
      <c r="AF165" s="51" cm="1">
        <f t="array" ref="AF165">AE165-AD165</f>
        <v>5850</v>
      </c>
    </row>
    <row r="166" ht="13.55" customHeight="1">
      <c r="A166" s="155"/>
      <c r="B166" s="9"/>
      <c r="C166" t="s" s="8">
        <v>9</v>
      </c>
      <c r="D166" s="25">
        <v>1000</v>
      </c>
      <c r="E166" s="9"/>
      <c r="F166" t="s" s="8">
        <v>10</v>
      </c>
      <c r="G166" t="s" s="33">
        <v>81</v>
      </c>
      <c r="H166" t="s" s="8">
        <v>10</v>
      </c>
      <c r="I166" t="s" s="33">
        <v>24</v>
      </c>
      <c r="J166" t="s" s="8">
        <v>10</v>
      </c>
      <c r="K166" s="34"/>
      <c r="L166" t="s" s="8">
        <v>10</v>
      </c>
      <c r="M166" s="34"/>
      <c r="N166" t="s" s="8">
        <v>10</v>
      </c>
      <c r="O166" s="34"/>
      <c r="P166" t="s" s="8">
        <v>10</v>
      </c>
      <c r="Q166" s="34"/>
      <c r="R166" t="s" s="8">
        <v>10</v>
      </c>
      <c r="S166" s="34"/>
      <c r="T166" t="s" s="8">
        <v>10</v>
      </c>
      <c r="U166" s="34"/>
      <c r="V166" t="s" s="8">
        <v>10</v>
      </c>
      <c r="W166" s="34"/>
      <c r="X166" t="s" s="8">
        <v>10</v>
      </c>
      <c r="Y166" t="s" s="33">
        <v>258</v>
      </c>
      <c r="Z166" t="s" s="8">
        <v>10</v>
      </c>
      <c r="AA166" t="s" s="33">
        <v>259</v>
      </c>
      <c r="AB166" t="s" s="8">
        <v>10</v>
      </c>
      <c r="AC166" t="s" s="33">
        <v>238</v>
      </c>
      <c r="AD166" s="131"/>
      <c r="AE166" s="13"/>
      <c r="AF166" s="7"/>
    </row>
    <row r="167" ht="13.75" customHeight="1">
      <c r="A167" s="155"/>
      <c r="B167" t="s" s="8">
        <v>260</v>
      </c>
      <c r="C167" s="9"/>
      <c r="D167" s="24"/>
      <c r="E167" t="s" s="8">
        <v>14</v>
      </c>
      <c r="F167" t="s" s="8">
        <v>6</v>
      </c>
      <c r="G167" s="16">
        <v>2067</v>
      </c>
      <c r="H167" t="s" s="8">
        <v>6</v>
      </c>
      <c r="I167" s="16">
        <v>2171</v>
      </c>
      <c r="J167" t="s" s="8">
        <v>6</v>
      </c>
      <c r="K167" s="42"/>
      <c r="L167" t="s" s="8">
        <v>6</v>
      </c>
      <c r="M167" s="18"/>
      <c r="N167" t="s" s="8">
        <v>6</v>
      </c>
      <c r="O167" s="18"/>
      <c r="P167" t="s" s="8">
        <v>6</v>
      </c>
      <c r="Q167" s="18"/>
      <c r="R167" t="s" s="8">
        <v>6</v>
      </c>
      <c r="S167" s="18"/>
      <c r="T167" t="s" s="8">
        <v>6</v>
      </c>
      <c r="U167" s="18"/>
      <c r="V167" t="s" s="8">
        <v>6</v>
      </c>
      <c r="W167" s="18"/>
      <c r="X167" t="s" s="8">
        <v>6</v>
      </c>
      <c r="Y167" s="16">
        <v>966</v>
      </c>
      <c r="Z167" t="s" s="8">
        <v>6</v>
      </c>
      <c r="AA167" s="16">
        <v>1750</v>
      </c>
      <c r="AB167" t="s" s="8">
        <v>6</v>
      </c>
      <c r="AC167" s="16">
        <v>1831</v>
      </c>
      <c r="AD167" s="131"/>
      <c r="AE167" s="13"/>
      <c r="AF167" s="7"/>
    </row>
    <row r="168" ht="13.55" customHeight="1">
      <c r="A168" s="155"/>
      <c r="B168" t="s" s="8">
        <v>261</v>
      </c>
      <c r="C168" s="9"/>
      <c r="D168" s="32"/>
      <c r="E168" s="9"/>
      <c r="F168" t="s" s="8">
        <v>8</v>
      </c>
      <c r="G168" s="26">
        <v>600</v>
      </c>
      <c r="H168" t="s" s="8">
        <v>8</v>
      </c>
      <c r="I168" s="26">
        <v>600</v>
      </c>
      <c r="J168" t="s" s="8">
        <v>8</v>
      </c>
      <c r="K168" s="42"/>
      <c r="L168" t="s" s="8">
        <v>8</v>
      </c>
      <c r="M168" s="27"/>
      <c r="N168" t="s" s="8">
        <v>8</v>
      </c>
      <c r="O168" s="27"/>
      <c r="P168" t="s" s="8">
        <v>8</v>
      </c>
      <c r="Q168" s="27"/>
      <c r="R168" t="s" s="8">
        <v>8</v>
      </c>
      <c r="S168" s="27"/>
      <c r="T168" t="s" s="8">
        <v>8</v>
      </c>
      <c r="U168" s="27"/>
      <c r="V168" t="s" s="8">
        <v>8</v>
      </c>
      <c r="W168" s="27"/>
      <c r="X168" t="s" s="8">
        <v>8</v>
      </c>
      <c r="Y168" s="26">
        <v>500</v>
      </c>
      <c r="Z168" t="s" s="8">
        <v>8</v>
      </c>
      <c r="AA168" s="26">
        <v>500</v>
      </c>
      <c r="AB168" t="s" s="8">
        <v>8</v>
      </c>
      <c r="AC168" s="26">
        <v>500</v>
      </c>
      <c r="AD168" s="132" cm="1">
        <f t="array" ref="AD168">G168+I168+K168+M168+O168+Q168+S168+U168+W168+Y168+AA168+AC168</f>
        <v>2700</v>
      </c>
      <c r="AE168" s="50" cm="1">
        <f t="array" ref="AE168">500*11</f>
        <v>5500</v>
      </c>
      <c r="AF168" s="51" cm="1">
        <f t="array" ref="AF168">AE168-AD168</f>
        <v>2800</v>
      </c>
    </row>
    <row r="169" ht="13.55" customHeight="1">
      <c r="A169" s="155"/>
      <c r="B169" s="24"/>
      <c r="C169" s="9"/>
      <c r="D169" s="32"/>
      <c r="E169" s="9"/>
      <c r="F169" t="s" s="8">
        <v>10</v>
      </c>
      <c r="G169" t="s" s="33">
        <v>81</v>
      </c>
      <c r="H169" t="s" s="8">
        <v>10</v>
      </c>
      <c r="I169" t="s" s="33">
        <v>24</v>
      </c>
      <c r="J169" t="s" s="8">
        <v>10</v>
      </c>
      <c r="K169" s="42"/>
      <c r="L169" t="s" s="8">
        <v>10</v>
      </c>
      <c r="M169" s="34"/>
      <c r="N169" t="s" s="8">
        <v>10</v>
      </c>
      <c r="O169" s="34"/>
      <c r="P169" t="s" s="8">
        <v>10</v>
      </c>
      <c r="Q169" s="34"/>
      <c r="R169" t="s" s="8">
        <v>10</v>
      </c>
      <c r="S169" s="34"/>
      <c r="T169" t="s" s="8">
        <v>10</v>
      </c>
      <c r="U169" s="34"/>
      <c r="V169" t="s" s="8">
        <v>10</v>
      </c>
      <c r="W169" s="34"/>
      <c r="X169" t="s" s="8">
        <v>10</v>
      </c>
      <c r="Y169" t="s" s="33">
        <v>258</v>
      </c>
      <c r="Z169" t="s" s="8">
        <v>10</v>
      </c>
      <c r="AA169" t="s" s="33">
        <v>259</v>
      </c>
      <c r="AB169" t="s" s="8">
        <v>10</v>
      </c>
      <c r="AC169" t="s" s="33">
        <v>238</v>
      </c>
      <c r="AD169" s="72"/>
      <c r="AE169" s="7"/>
      <c r="AF169" s="7"/>
    </row>
    <row r="170" ht="13.55" customHeight="1">
      <c r="A170" s="23"/>
      <c r="B170" s="71"/>
      <c r="C170" s="65"/>
      <c r="D170" s="111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39"/>
      <c r="AC170" s="23"/>
      <c r="AD170" s="13"/>
      <c r="AE170" s="7"/>
      <c r="AF170" s="7"/>
    </row>
    <row r="171" ht="13.75" customHeight="1">
      <c r="A171" s="154">
        <v>25</v>
      </c>
      <c r="B171" t="s" s="130">
        <v>262</v>
      </c>
      <c r="C171" s="9"/>
      <c r="D171" s="23"/>
      <c r="E171" t="s" s="8">
        <v>5</v>
      </c>
      <c r="F171" t="s" s="8">
        <v>6</v>
      </c>
      <c r="G171" s="16">
        <v>3247</v>
      </c>
      <c r="H171" t="s" s="8">
        <v>6</v>
      </c>
      <c r="I171" s="16">
        <v>3247</v>
      </c>
      <c r="J171" t="s" s="8">
        <v>6</v>
      </c>
      <c r="K171" s="18"/>
      <c r="L171" t="s" s="8">
        <v>6</v>
      </c>
      <c r="M171" s="18"/>
      <c r="N171" t="s" s="8">
        <v>6</v>
      </c>
      <c r="O171" s="18"/>
      <c r="P171" t="s" s="8">
        <v>6</v>
      </c>
      <c r="Q171" s="18"/>
      <c r="R171" t="s" s="8">
        <v>6</v>
      </c>
      <c r="S171" s="18"/>
      <c r="T171" t="s" s="8">
        <v>6</v>
      </c>
      <c r="U171" s="18"/>
      <c r="V171" t="s" s="8">
        <v>6</v>
      </c>
      <c r="W171" s="18"/>
      <c r="X171" t="s" s="8">
        <v>6</v>
      </c>
      <c r="Y171" s="16">
        <v>2313</v>
      </c>
      <c r="Z171" t="s" s="8">
        <v>6</v>
      </c>
      <c r="AA171" s="16">
        <v>2931</v>
      </c>
      <c r="AB171" t="s" s="8">
        <v>6</v>
      </c>
      <c r="AC171" s="16">
        <v>3067</v>
      </c>
      <c r="AD171" s="71"/>
      <c r="AE171" s="7"/>
      <c r="AF171" s="7"/>
    </row>
    <row r="172" ht="13.55" customHeight="1">
      <c r="A172" s="155"/>
      <c r="B172" s="23"/>
      <c r="C172" s="9"/>
      <c r="D172" s="42"/>
      <c r="E172" s="9"/>
      <c r="F172" t="s" s="8">
        <v>8</v>
      </c>
      <c r="G172" s="26">
        <v>450</v>
      </c>
      <c r="H172" t="s" s="8">
        <v>8</v>
      </c>
      <c r="I172" s="26">
        <v>450</v>
      </c>
      <c r="J172" t="s" s="8">
        <v>8</v>
      </c>
      <c r="K172" s="27"/>
      <c r="L172" t="s" s="8">
        <v>8</v>
      </c>
      <c r="M172" s="27"/>
      <c r="N172" t="s" s="8">
        <v>8</v>
      </c>
      <c r="O172" s="27"/>
      <c r="P172" t="s" s="8">
        <v>8</v>
      </c>
      <c r="Q172" s="27"/>
      <c r="R172" t="s" s="8">
        <v>8</v>
      </c>
      <c r="S172" s="27"/>
      <c r="T172" t="s" s="8">
        <v>8</v>
      </c>
      <c r="U172" s="27"/>
      <c r="V172" t="s" s="8">
        <v>8</v>
      </c>
      <c r="W172" s="27"/>
      <c r="X172" t="s" s="8">
        <v>8</v>
      </c>
      <c r="Y172" s="26" cm="1">
        <f t="array" ref="Y172">350+75</f>
        <v>425</v>
      </c>
      <c r="Z172" t="s" s="8">
        <v>8</v>
      </c>
      <c r="AA172" s="26" cm="1">
        <f t="array" ref="AA172">350+75</f>
        <v>425</v>
      </c>
      <c r="AB172" t="s" s="8">
        <v>8</v>
      </c>
      <c r="AC172" s="26" cm="1">
        <f t="array" ref="AC172">350+75</f>
        <v>425</v>
      </c>
      <c r="AD172" s="132" cm="1">
        <f t="array" ref="AD172">G172+I172+K172+M172+O172+Q172+S172+U172+W172+Y172+AA172+AC172</f>
        <v>2175</v>
      </c>
      <c r="AE172" s="50" cm="1">
        <f t="array" ref="AE172">425*12</f>
        <v>5100</v>
      </c>
      <c r="AF172" s="51" cm="1">
        <f t="array" ref="AF172">AE172-AD172</f>
        <v>2925</v>
      </c>
    </row>
    <row r="173" ht="13.55" customHeight="1">
      <c r="A173" s="155"/>
      <c r="B173" t="s" s="144">
        <v>69</v>
      </c>
      <c r="C173" t="s" s="8">
        <v>9</v>
      </c>
      <c r="D173" s="25">
        <v>1000</v>
      </c>
      <c r="E173" s="9"/>
      <c r="F173" t="s" s="8">
        <v>10</v>
      </c>
      <c r="G173" t="s" s="33">
        <v>64</v>
      </c>
      <c r="H173" t="s" s="8">
        <v>10</v>
      </c>
      <c r="I173" t="s" s="33">
        <v>64</v>
      </c>
      <c r="J173" t="s" s="8">
        <v>10</v>
      </c>
      <c r="K173" s="34"/>
      <c r="L173" t="s" s="8">
        <v>10</v>
      </c>
      <c r="M173" s="34"/>
      <c r="N173" t="s" s="8">
        <v>10</v>
      </c>
      <c r="O173" s="34"/>
      <c r="P173" t="s" s="8">
        <v>10</v>
      </c>
      <c r="Q173" s="34"/>
      <c r="R173" t="s" s="8">
        <v>10</v>
      </c>
      <c r="S173" s="34"/>
      <c r="T173" t="s" s="8">
        <v>10</v>
      </c>
      <c r="U173" s="34"/>
      <c r="V173" t="s" s="8">
        <v>10</v>
      </c>
      <c r="W173" s="34"/>
      <c r="X173" t="s" s="8">
        <v>10</v>
      </c>
      <c r="Y173" t="s" s="33">
        <v>181</v>
      </c>
      <c r="Z173" t="s" s="8">
        <v>10</v>
      </c>
      <c r="AA173" t="s" s="33">
        <v>186</v>
      </c>
      <c r="AB173" t="s" s="8">
        <v>10</v>
      </c>
      <c r="AC173" t="s" s="33">
        <v>248</v>
      </c>
      <c r="AD173" s="131"/>
      <c r="AE173" s="13"/>
      <c r="AF173" s="7"/>
    </row>
    <row r="174" ht="13.75" customHeight="1">
      <c r="A174" s="155"/>
      <c r="B174" t="s" s="8">
        <v>263</v>
      </c>
      <c r="C174" s="9"/>
      <c r="D174" s="23"/>
      <c r="E174" t="s" s="8">
        <v>14</v>
      </c>
      <c r="F174" t="s" s="8">
        <v>6</v>
      </c>
      <c r="G174" s="16">
        <v>2213</v>
      </c>
      <c r="H174" t="s" s="8">
        <v>6</v>
      </c>
      <c r="I174" s="16">
        <v>2213</v>
      </c>
      <c r="J174" t="s" s="8">
        <v>6</v>
      </c>
      <c r="K174" s="42"/>
      <c r="L174" t="s" s="8">
        <v>6</v>
      </c>
      <c r="M174" s="18"/>
      <c r="N174" t="s" s="8">
        <v>6</v>
      </c>
      <c r="O174" s="18"/>
      <c r="P174" t="s" s="8">
        <v>6</v>
      </c>
      <c r="Q174" s="18"/>
      <c r="R174" t="s" s="8">
        <v>6</v>
      </c>
      <c r="S174" s="18"/>
      <c r="T174" t="s" s="8">
        <v>6</v>
      </c>
      <c r="U174" s="18"/>
      <c r="V174" t="s" s="8">
        <v>6</v>
      </c>
      <c r="W174" s="18"/>
      <c r="X174" t="s" s="8">
        <v>6</v>
      </c>
      <c r="Y174" s="16">
        <v>963</v>
      </c>
      <c r="Z174" t="s" s="8">
        <v>6</v>
      </c>
      <c r="AA174" s="16">
        <v>1787</v>
      </c>
      <c r="AB174" t="s" s="8">
        <v>6</v>
      </c>
      <c r="AC174" s="16">
        <v>1901</v>
      </c>
      <c r="AD174" s="131"/>
      <c r="AE174" s="13"/>
      <c r="AF174" s="7"/>
    </row>
    <row r="175" ht="13.55" customHeight="1">
      <c r="A175" s="155"/>
      <c r="B175" t="s" s="8">
        <v>264</v>
      </c>
      <c r="C175" s="9"/>
      <c r="D175" s="23"/>
      <c r="E175" s="9"/>
      <c r="F175" t="s" s="8">
        <v>8</v>
      </c>
      <c r="G175" s="26">
        <v>1000</v>
      </c>
      <c r="H175" t="s" s="8">
        <v>8</v>
      </c>
      <c r="I175" s="26">
        <v>1000</v>
      </c>
      <c r="J175" t="s" s="8">
        <v>8</v>
      </c>
      <c r="K175" s="42"/>
      <c r="L175" t="s" s="8">
        <v>8</v>
      </c>
      <c r="M175" s="27"/>
      <c r="N175" t="s" s="8">
        <v>8</v>
      </c>
      <c r="O175" s="27"/>
      <c r="P175" t="s" s="8">
        <v>8</v>
      </c>
      <c r="Q175" s="27"/>
      <c r="R175" t="s" s="8">
        <v>8</v>
      </c>
      <c r="S175" s="27"/>
      <c r="T175" t="s" s="8">
        <v>8</v>
      </c>
      <c r="U175" s="27"/>
      <c r="V175" t="s" s="8">
        <v>8</v>
      </c>
      <c r="W175" s="27"/>
      <c r="X175" t="s" s="8">
        <v>8</v>
      </c>
      <c r="Y175" s="26">
        <v>900</v>
      </c>
      <c r="Z175" t="s" s="8">
        <v>8</v>
      </c>
      <c r="AA175" s="26">
        <v>900</v>
      </c>
      <c r="AB175" t="s" s="8">
        <v>8</v>
      </c>
      <c r="AC175" s="26">
        <v>900</v>
      </c>
      <c r="AD175" s="132" cm="1">
        <f t="array" ref="AD175">G175+I175+K175+M175+O175+Q175+S175+U175+W175+Y175+AA175+AC175</f>
        <v>4700</v>
      </c>
      <c r="AE175" s="50" cm="1">
        <f t="array" ref="AE175">900*11</f>
        <v>9900</v>
      </c>
      <c r="AF175" s="51" cm="1">
        <f t="array" ref="AF175">AE175-AD175</f>
        <v>5200</v>
      </c>
    </row>
    <row r="176" ht="13.55" customHeight="1">
      <c r="A176" s="155"/>
      <c r="B176" s="9"/>
      <c r="C176" s="9"/>
      <c r="D176" s="23"/>
      <c r="E176" s="9"/>
      <c r="F176" t="s" s="8">
        <v>10</v>
      </c>
      <c r="G176" t="s" s="33">
        <v>64</v>
      </c>
      <c r="H176" t="s" s="8">
        <v>10</v>
      </c>
      <c r="I176" t="s" s="33">
        <v>64</v>
      </c>
      <c r="J176" t="s" s="8">
        <v>10</v>
      </c>
      <c r="K176" s="42"/>
      <c r="L176" t="s" s="8">
        <v>10</v>
      </c>
      <c r="M176" s="34"/>
      <c r="N176" t="s" s="8">
        <v>10</v>
      </c>
      <c r="O176" s="34"/>
      <c r="P176" t="s" s="8">
        <v>10</v>
      </c>
      <c r="Q176" s="34"/>
      <c r="R176" t="s" s="8">
        <v>10</v>
      </c>
      <c r="S176" s="34"/>
      <c r="T176" t="s" s="8">
        <v>10</v>
      </c>
      <c r="U176" s="34"/>
      <c r="V176" t="s" s="8">
        <v>10</v>
      </c>
      <c r="W176" s="34"/>
      <c r="X176" t="s" s="8">
        <v>10</v>
      </c>
      <c r="Y176" t="s" s="33">
        <v>164</v>
      </c>
      <c r="Z176" t="s" s="8">
        <v>10</v>
      </c>
      <c r="AA176" t="s" s="33">
        <v>186</v>
      </c>
      <c r="AB176" t="s" s="8">
        <v>10</v>
      </c>
      <c r="AC176" t="s" s="33">
        <v>248</v>
      </c>
      <c r="AD176" s="72"/>
      <c r="AE176" s="7"/>
      <c r="AF176" s="7"/>
    </row>
    <row r="177" ht="13.55" customHeight="1">
      <c r="A177" s="23"/>
      <c r="B177" s="38"/>
      <c r="C177" s="65"/>
      <c r="D177" s="70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39"/>
      <c r="AC177" s="23"/>
      <c r="AD177" s="13"/>
      <c r="AE177" s="7"/>
      <c r="AF177" s="7"/>
    </row>
    <row r="178" ht="13.75" customHeight="1">
      <c r="A178" s="154">
        <v>26</v>
      </c>
      <c r="B178" t="s" s="130">
        <v>265</v>
      </c>
      <c r="C178" s="9"/>
      <c r="D178" s="44"/>
      <c r="E178" t="s" s="8">
        <v>5</v>
      </c>
      <c r="F178" t="s" s="8">
        <v>6</v>
      </c>
      <c r="G178" s="16">
        <v>1168</v>
      </c>
      <c r="H178" t="s" s="8">
        <v>6</v>
      </c>
      <c r="I178" s="16">
        <v>3203</v>
      </c>
      <c r="J178" t="s" s="8">
        <v>6</v>
      </c>
      <c r="K178" s="18"/>
      <c r="L178" t="s" s="8">
        <v>6</v>
      </c>
      <c r="M178" s="18"/>
      <c r="N178" t="s" s="8">
        <v>6</v>
      </c>
      <c r="O178" s="18"/>
      <c r="P178" t="s" s="8">
        <v>6</v>
      </c>
      <c r="Q178" s="18"/>
      <c r="R178" t="s" s="8">
        <v>6</v>
      </c>
      <c r="S178" s="18"/>
      <c r="T178" t="s" s="8">
        <v>6</v>
      </c>
      <c r="U178" s="18"/>
      <c r="V178" t="s" s="8">
        <v>6</v>
      </c>
      <c r="W178" s="18"/>
      <c r="X178" t="s" s="8">
        <v>6</v>
      </c>
      <c r="Y178" s="16">
        <v>2413</v>
      </c>
      <c r="Z178" t="s" s="8">
        <v>6</v>
      </c>
      <c r="AA178" s="16">
        <v>2904</v>
      </c>
      <c r="AB178" t="s" s="8">
        <v>6</v>
      </c>
      <c r="AC178" s="16">
        <v>3035</v>
      </c>
      <c r="AD178" s="71"/>
      <c r="AE178" s="7"/>
      <c r="AF178" s="7"/>
    </row>
    <row r="179" ht="13.55" customHeight="1">
      <c r="A179" s="155"/>
      <c r="B179" s="23"/>
      <c r="C179" s="9"/>
      <c r="D179" s="42"/>
      <c r="E179" s="9"/>
      <c r="F179" t="s" s="8">
        <v>8</v>
      </c>
      <c r="G179" s="26">
        <v>450</v>
      </c>
      <c r="H179" t="s" s="8">
        <v>8</v>
      </c>
      <c r="I179" s="26">
        <v>450</v>
      </c>
      <c r="J179" t="s" s="8">
        <v>8</v>
      </c>
      <c r="K179" s="27"/>
      <c r="L179" t="s" s="8">
        <v>8</v>
      </c>
      <c r="M179" s="27"/>
      <c r="N179" t="s" s="8">
        <v>8</v>
      </c>
      <c r="O179" s="27"/>
      <c r="P179" t="s" s="8">
        <v>8</v>
      </c>
      <c r="Q179" s="27"/>
      <c r="R179" t="s" s="8">
        <v>8</v>
      </c>
      <c r="S179" s="27"/>
      <c r="T179" t="s" s="8">
        <v>8</v>
      </c>
      <c r="U179" s="27"/>
      <c r="V179" t="s" s="8">
        <v>8</v>
      </c>
      <c r="W179" s="27"/>
      <c r="X179" t="s" s="8">
        <v>8</v>
      </c>
      <c r="Y179" s="26">
        <v>425</v>
      </c>
      <c r="Z179" t="s" s="8">
        <v>8</v>
      </c>
      <c r="AA179" s="26">
        <v>425</v>
      </c>
      <c r="AB179" t="s" s="8">
        <v>8</v>
      </c>
      <c r="AC179" s="26">
        <v>425</v>
      </c>
      <c r="AD179" s="132" cm="1">
        <f t="array" ref="AD179">G179+I179+K179+M179+O179+Q179+S179+U179+W179+Y179+AA179+AC179</f>
        <v>2175</v>
      </c>
      <c r="AE179" s="50" cm="1">
        <f t="array" ref="AE179">425*12</f>
        <v>5100</v>
      </c>
      <c r="AF179" s="51" cm="1">
        <f t="array" ref="AF179">AE179-AD179</f>
        <v>2925</v>
      </c>
    </row>
    <row r="180" ht="13.55" customHeight="1">
      <c r="A180" s="155"/>
      <c r="B180" t="s" s="144">
        <v>60</v>
      </c>
      <c r="C180" t="s" s="8">
        <v>9</v>
      </c>
      <c r="D180" s="25">
        <v>1000</v>
      </c>
      <c r="E180" s="9"/>
      <c r="F180" t="s" s="8">
        <v>10</v>
      </c>
      <c r="G180" t="s" s="33">
        <v>70</v>
      </c>
      <c r="H180" t="s" s="8">
        <v>10</v>
      </c>
      <c r="I180" t="s" s="33">
        <v>24</v>
      </c>
      <c r="J180" t="s" s="8">
        <v>10</v>
      </c>
      <c r="K180" s="34"/>
      <c r="L180" t="s" s="8">
        <v>10</v>
      </c>
      <c r="M180" s="34"/>
      <c r="N180" t="s" s="8">
        <v>10</v>
      </c>
      <c r="O180" s="34"/>
      <c r="P180" t="s" s="8">
        <v>10</v>
      </c>
      <c r="Q180" s="34"/>
      <c r="R180" t="s" s="8">
        <v>10</v>
      </c>
      <c r="S180" s="34"/>
      <c r="T180" t="s" s="8">
        <v>10</v>
      </c>
      <c r="U180" s="34"/>
      <c r="V180" t="s" s="8">
        <v>10</v>
      </c>
      <c r="W180" s="34"/>
      <c r="X180" t="s" s="8">
        <v>10</v>
      </c>
      <c r="Y180" t="s" s="33">
        <v>193</v>
      </c>
      <c r="Z180" t="s" s="8">
        <v>10</v>
      </c>
      <c r="AA180" t="s" s="33">
        <v>165</v>
      </c>
      <c r="AB180" t="s" s="8">
        <v>10</v>
      </c>
      <c r="AC180" t="s" s="33">
        <v>238</v>
      </c>
      <c r="AD180" s="131"/>
      <c r="AE180" s="13"/>
      <c r="AF180" s="7"/>
    </row>
    <row r="181" ht="13.75" customHeight="1">
      <c r="A181" s="155"/>
      <c r="B181" t="s" s="8">
        <v>266</v>
      </c>
      <c r="C181" s="9"/>
      <c r="D181" s="24"/>
      <c r="E181" t="s" s="8">
        <v>14</v>
      </c>
      <c r="F181" t="s" s="8">
        <v>6</v>
      </c>
      <c r="G181" s="16">
        <v>2084</v>
      </c>
      <c r="H181" t="s" s="8">
        <v>6</v>
      </c>
      <c r="I181" s="16">
        <v>2177</v>
      </c>
      <c r="J181" t="s" s="8">
        <v>6</v>
      </c>
      <c r="K181" s="42"/>
      <c r="L181" t="s" s="8">
        <v>6</v>
      </c>
      <c r="M181" s="18"/>
      <c r="N181" t="s" s="8">
        <v>6</v>
      </c>
      <c r="O181" s="18"/>
      <c r="P181" t="s" s="8">
        <v>6</v>
      </c>
      <c r="Q181" s="18"/>
      <c r="R181" t="s" s="8">
        <v>6</v>
      </c>
      <c r="S181" s="18"/>
      <c r="T181" t="s" s="8">
        <v>6</v>
      </c>
      <c r="U181" s="18"/>
      <c r="V181" t="s" s="8">
        <v>6</v>
      </c>
      <c r="W181" s="18"/>
      <c r="X181" t="s" s="8">
        <v>6</v>
      </c>
      <c r="Y181" s="16">
        <v>1041</v>
      </c>
      <c r="Z181" t="s" s="8">
        <v>6</v>
      </c>
      <c r="AA181" s="16">
        <v>1735</v>
      </c>
      <c r="AB181" t="s" s="8">
        <v>6</v>
      </c>
      <c r="AC181" s="16">
        <v>1875</v>
      </c>
      <c r="AD181" s="131"/>
      <c r="AE181" s="13"/>
      <c r="AF181" s="7"/>
    </row>
    <row r="182" ht="13.55" customHeight="1">
      <c r="A182" s="155"/>
      <c r="B182" t="s" s="8">
        <v>267</v>
      </c>
      <c r="C182" s="9"/>
      <c r="D182" s="32"/>
      <c r="E182" s="9"/>
      <c r="F182" t="s" s="8">
        <v>8</v>
      </c>
      <c r="G182" s="26">
        <v>800</v>
      </c>
      <c r="H182" t="s" s="8">
        <v>8</v>
      </c>
      <c r="I182" s="26">
        <v>800</v>
      </c>
      <c r="J182" t="s" s="8">
        <v>8</v>
      </c>
      <c r="K182" s="42"/>
      <c r="L182" t="s" s="8">
        <v>8</v>
      </c>
      <c r="M182" s="27"/>
      <c r="N182" t="s" s="8">
        <v>8</v>
      </c>
      <c r="O182" s="27"/>
      <c r="P182" t="s" s="8">
        <v>8</v>
      </c>
      <c r="Q182" s="27"/>
      <c r="R182" t="s" s="8">
        <v>8</v>
      </c>
      <c r="S182" s="27"/>
      <c r="T182" t="s" s="8">
        <v>8</v>
      </c>
      <c r="U182" s="27"/>
      <c r="V182" t="s" s="8">
        <v>8</v>
      </c>
      <c r="W182" s="27"/>
      <c r="X182" t="s" s="8">
        <v>8</v>
      </c>
      <c r="Y182" s="26">
        <v>700</v>
      </c>
      <c r="Z182" t="s" s="8">
        <v>8</v>
      </c>
      <c r="AA182" s="26">
        <v>700</v>
      </c>
      <c r="AB182" t="s" s="8">
        <v>8</v>
      </c>
      <c r="AC182" s="26">
        <v>700</v>
      </c>
      <c r="AD182" s="132" cm="1">
        <f t="array" ref="AD182">G182+I182+K182+M182+O182+Q182+S182+U182+W182+Y182+AA182+AC182</f>
        <v>3700</v>
      </c>
      <c r="AE182" s="50" cm="1">
        <f t="array" ref="AE182">700*11</f>
        <v>7700</v>
      </c>
      <c r="AF182" s="51" cm="1">
        <f t="array" ref="AF182">AE182-AD182</f>
        <v>4000</v>
      </c>
    </row>
    <row r="183" ht="13.55" customHeight="1">
      <c r="A183" s="155"/>
      <c r="B183" s="24"/>
      <c r="C183" s="9"/>
      <c r="D183" s="32"/>
      <c r="E183" s="9"/>
      <c r="F183" t="s" s="8">
        <v>10</v>
      </c>
      <c r="G183" t="s" s="33">
        <v>70</v>
      </c>
      <c r="H183" t="s" s="8">
        <v>10</v>
      </c>
      <c r="I183" t="s" s="33">
        <v>24</v>
      </c>
      <c r="J183" t="s" s="8">
        <v>10</v>
      </c>
      <c r="K183" s="42"/>
      <c r="L183" t="s" s="8">
        <v>10</v>
      </c>
      <c r="M183" s="34"/>
      <c r="N183" t="s" s="8">
        <v>10</v>
      </c>
      <c r="O183" s="34"/>
      <c r="P183" t="s" s="8">
        <v>10</v>
      </c>
      <c r="Q183" s="34"/>
      <c r="R183" t="s" s="8">
        <v>10</v>
      </c>
      <c r="S183" s="34"/>
      <c r="T183" t="s" s="8">
        <v>10</v>
      </c>
      <c r="U183" s="34"/>
      <c r="V183" t="s" s="8">
        <v>10</v>
      </c>
      <c r="W183" s="34"/>
      <c r="X183" t="s" s="8">
        <v>10</v>
      </c>
      <c r="Y183" t="s" s="33">
        <v>193</v>
      </c>
      <c r="Z183" t="s" s="8">
        <v>10</v>
      </c>
      <c r="AA183" t="s" s="33">
        <v>165</v>
      </c>
      <c r="AB183" t="s" s="8">
        <v>10</v>
      </c>
      <c r="AC183" t="s" s="33">
        <v>238</v>
      </c>
      <c r="AD183" s="72"/>
      <c r="AE183" s="7"/>
      <c r="AF183" s="7"/>
    </row>
    <row r="184" ht="13.55" customHeight="1">
      <c r="A184" s="23"/>
      <c r="B184" s="71"/>
      <c r="C184" s="65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39"/>
      <c r="AC184" s="23"/>
      <c r="AD184" s="13"/>
      <c r="AE184" s="7"/>
      <c r="AF184" s="7"/>
    </row>
    <row r="185" ht="13.75" customHeight="1">
      <c r="A185" s="154">
        <v>27</v>
      </c>
      <c r="B185" t="s" s="130">
        <v>268</v>
      </c>
      <c r="C185" s="9"/>
      <c r="D185" s="44"/>
      <c r="E185" t="s" s="8">
        <v>5</v>
      </c>
      <c r="F185" t="s" s="8">
        <v>6</v>
      </c>
      <c r="G185" s="16">
        <v>1099</v>
      </c>
      <c r="H185" t="s" s="8">
        <v>6</v>
      </c>
      <c r="I185" s="18"/>
      <c r="J185" t="s" s="8">
        <v>6</v>
      </c>
      <c r="K185" s="18"/>
      <c r="L185" t="s" s="8">
        <v>6</v>
      </c>
      <c r="M185" s="18"/>
      <c r="N185" t="s" s="8">
        <v>6</v>
      </c>
      <c r="O185" s="18"/>
      <c r="P185" t="s" s="8">
        <v>6</v>
      </c>
      <c r="Q185" s="156"/>
      <c r="R185" t="s" s="8">
        <v>6</v>
      </c>
      <c r="S185" s="156"/>
      <c r="T185" t="s" s="8">
        <v>6</v>
      </c>
      <c r="U185" s="18"/>
      <c r="V185" t="s" s="8">
        <v>6</v>
      </c>
      <c r="W185" s="18"/>
      <c r="X185" t="s" s="8">
        <v>6</v>
      </c>
      <c r="Y185" s="16">
        <v>2483</v>
      </c>
      <c r="Z185" t="s" s="8">
        <v>6</v>
      </c>
      <c r="AA185" s="16">
        <v>3025</v>
      </c>
      <c r="AB185" t="s" s="8">
        <v>6</v>
      </c>
      <c r="AC185" s="16">
        <v>3097</v>
      </c>
      <c r="AD185" s="71"/>
      <c r="AE185" s="7"/>
      <c r="AF185" s="7"/>
    </row>
    <row r="186" ht="13.55" customHeight="1">
      <c r="A186" s="155"/>
      <c r="B186" s="23"/>
      <c r="C186" s="9"/>
      <c r="D186" s="42"/>
      <c r="E186" s="9"/>
      <c r="F186" t="s" s="8">
        <v>8</v>
      </c>
      <c r="G186" s="26">
        <v>450</v>
      </c>
      <c r="H186" t="s" s="8">
        <v>8</v>
      </c>
      <c r="I186" s="27"/>
      <c r="J186" t="s" s="8">
        <v>8</v>
      </c>
      <c r="K186" s="27"/>
      <c r="L186" t="s" s="8">
        <v>8</v>
      </c>
      <c r="M186" s="27"/>
      <c r="N186" t="s" s="8">
        <v>8</v>
      </c>
      <c r="O186" s="27"/>
      <c r="P186" t="s" s="8">
        <v>8</v>
      </c>
      <c r="Q186" s="27"/>
      <c r="R186" t="s" s="8">
        <v>8</v>
      </c>
      <c r="S186" s="27"/>
      <c r="T186" t="s" s="8">
        <v>8</v>
      </c>
      <c r="U186" s="27"/>
      <c r="V186" t="s" s="8">
        <v>8</v>
      </c>
      <c r="W186" s="27"/>
      <c r="X186" t="s" s="8">
        <v>8</v>
      </c>
      <c r="Y186" s="26">
        <v>425</v>
      </c>
      <c r="Z186" t="s" s="8">
        <v>8</v>
      </c>
      <c r="AA186" s="26">
        <v>425</v>
      </c>
      <c r="AB186" t="s" s="8">
        <v>8</v>
      </c>
      <c r="AC186" s="26">
        <v>425</v>
      </c>
      <c r="AD186" s="132" cm="1">
        <f t="array" ref="AD186">G186+I186+K186+M186+O186+Q186+S186+U186+W186+Y186+AA186+AC186</f>
        <v>1725</v>
      </c>
      <c r="AE186" s="50" cm="1">
        <f t="array" ref="AE186">425*12</f>
        <v>5100</v>
      </c>
      <c r="AF186" s="51" cm="1">
        <f t="array" ref="AF186">AE186-AD186</f>
        <v>3375</v>
      </c>
    </row>
    <row r="187" ht="13.55" customHeight="1">
      <c r="A187" s="155"/>
      <c r="B187" t="s" s="144">
        <v>60</v>
      </c>
      <c r="C187" t="s" s="8">
        <v>9</v>
      </c>
      <c r="D187" s="25">
        <v>1000</v>
      </c>
      <c r="E187" s="9"/>
      <c r="F187" t="s" s="8">
        <v>10</v>
      </c>
      <c r="G187" t="s" s="33">
        <v>23</v>
      </c>
      <c r="H187" t="s" s="8">
        <v>10</v>
      </c>
      <c r="I187" s="34"/>
      <c r="J187" t="s" s="8">
        <v>10</v>
      </c>
      <c r="K187" s="34"/>
      <c r="L187" t="s" s="8">
        <v>10</v>
      </c>
      <c r="M187" s="157"/>
      <c r="N187" t="s" s="8">
        <v>10</v>
      </c>
      <c r="O187" s="157"/>
      <c r="P187" t="s" s="8">
        <v>10</v>
      </c>
      <c r="Q187" s="157"/>
      <c r="R187" t="s" s="8">
        <v>10</v>
      </c>
      <c r="S187" s="157"/>
      <c r="T187" t="s" s="8">
        <v>10</v>
      </c>
      <c r="U187" s="34"/>
      <c r="V187" t="s" s="8">
        <v>10</v>
      </c>
      <c r="W187" s="34"/>
      <c r="X187" t="s" s="8">
        <v>10</v>
      </c>
      <c r="Y187" t="s" s="33">
        <v>259</v>
      </c>
      <c r="Z187" t="s" s="8">
        <v>10</v>
      </c>
      <c r="AA187" t="s" s="33">
        <v>238</v>
      </c>
      <c r="AB187" t="s" s="8">
        <v>10</v>
      </c>
      <c r="AC187" t="s" s="33">
        <v>269</v>
      </c>
      <c r="AD187" s="131"/>
      <c r="AE187" s="13"/>
      <c r="AF187" s="7"/>
    </row>
    <row r="188" ht="13.75" customHeight="1">
      <c r="A188" s="155"/>
      <c r="B188" t="s" s="8">
        <v>270</v>
      </c>
      <c r="C188" s="9"/>
      <c r="D188" s="24"/>
      <c r="E188" t="s" s="8">
        <v>14</v>
      </c>
      <c r="F188" t="s" s="8">
        <v>6</v>
      </c>
      <c r="G188" s="16">
        <v>2033</v>
      </c>
      <c r="H188" t="s" s="8">
        <v>6</v>
      </c>
      <c r="I188" s="18"/>
      <c r="J188" t="s" s="8">
        <v>6</v>
      </c>
      <c r="K188" s="18"/>
      <c r="L188" t="s" s="8">
        <v>6</v>
      </c>
      <c r="M188" s="18"/>
      <c r="N188" t="s" s="8">
        <v>6</v>
      </c>
      <c r="O188" s="18"/>
      <c r="P188" t="s" s="8">
        <v>6</v>
      </c>
      <c r="Q188" s="18"/>
      <c r="R188" t="s" s="8">
        <v>6</v>
      </c>
      <c r="S188" s="18"/>
      <c r="T188" t="s" s="8">
        <v>6</v>
      </c>
      <c r="U188" s="18"/>
      <c r="V188" t="s" s="8">
        <v>6</v>
      </c>
      <c r="W188" s="18"/>
      <c r="X188" t="s" s="8">
        <v>6</v>
      </c>
      <c r="Y188" s="16">
        <v>1748</v>
      </c>
      <c r="Z188" t="s" s="8">
        <v>6</v>
      </c>
      <c r="AA188" s="16">
        <v>1836</v>
      </c>
      <c r="AB188" t="s" s="8">
        <v>6</v>
      </c>
      <c r="AC188" s="16">
        <v>1926</v>
      </c>
      <c r="AD188" s="131"/>
      <c r="AE188" s="13"/>
      <c r="AF188" s="7"/>
    </row>
    <row r="189" ht="13.55" customHeight="1">
      <c r="A189" s="155"/>
      <c r="B189" t="s" s="8">
        <v>271</v>
      </c>
      <c r="C189" s="9"/>
      <c r="D189" s="32"/>
      <c r="E189" s="9"/>
      <c r="F189" t="s" s="8">
        <v>8</v>
      </c>
      <c r="G189" s="25">
        <v>600</v>
      </c>
      <c r="H189" t="s" s="8">
        <v>8</v>
      </c>
      <c r="I189" s="27"/>
      <c r="J189" t="s" s="8">
        <v>8</v>
      </c>
      <c r="K189" s="27"/>
      <c r="L189" t="s" s="8">
        <v>8</v>
      </c>
      <c r="M189" s="27"/>
      <c r="N189" t="s" s="8">
        <v>8</v>
      </c>
      <c r="O189" s="27"/>
      <c r="P189" t="s" s="8">
        <v>8</v>
      </c>
      <c r="Q189" s="27"/>
      <c r="R189" t="s" s="8">
        <v>8</v>
      </c>
      <c r="S189" s="27"/>
      <c r="T189" t="s" s="8">
        <v>8</v>
      </c>
      <c r="U189" s="27"/>
      <c r="V189" t="s" s="8">
        <v>8</v>
      </c>
      <c r="W189" s="27"/>
      <c r="X189" t="s" s="8">
        <v>8</v>
      </c>
      <c r="Y189" s="26">
        <v>500</v>
      </c>
      <c r="Z189" t="s" s="8">
        <v>8</v>
      </c>
      <c r="AA189" s="26">
        <v>500</v>
      </c>
      <c r="AB189" t="s" s="8">
        <v>8</v>
      </c>
      <c r="AC189" s="26">
        <v>500</v>
      </c>
      <c r="AD189" s="132" cm="1">
        <f t="array" ref="AD189">G189+I189+K189+M189+O189+Q189+S189+U189+W189+Y189+AA189+AC189</f>
        <v>2100</v>
      </c>
      <c r="AE189" s="50" cm="1">
        <f t="array" ref="AE189">500*11</f>
        <v>5500</v>
      </c>
      <c r="AF189" s="51" cm="1">
        <f t="array" ref="AF189">AE189-AD189</f>
        <v>3400</v>
      </c>
    </row>
    <row r="190" ht="13.55" customHeight="1">
      <c r="A190" s="155"/>
      <c r="B190" s="23"/>
      <c r="C190" s="9"/>
      <c r="D190" s="32"/>
      <c r="E190" s="9"/>
      <c r="F190" t="s" s="8">
        <v>10</v>
      </c>
      <c r="G190" t="s" s="33">
        <v>23</v>
      </c>
      <c r="H190" t="s" s="8">
        <v>10</v>
      </c>
      <c r="I190" s="34"/>
      <c r="J190" t="s" s="8">
        <v>10</v>
      </c>
      <c r="K190" s="34"/>
      <c r="L190" t="s" s="8">
        <v>10</v>
      </c>
      <c r="M190" s="34"/>
      <c r="N190" t="s" s="8">
        <v>10</v>
      </c>
      <c r="O190" s="34"/>
      <c r="P190" t="s" s="8">
        <v>10</v>
      </c>
      <c r="Q190" s="34"/>
      <c r="R190" t="s" s="8">
        <v>10</v>
      </c>
      <c r="S190" s="34"/>
      <c r="T190" t="s" s="8">
        <v>10</v>
      </c>
      <c r="U190" s="34"/>
      <c r="V190" t="s" s="8">
        <v>10</v>
      </c>
      <c r="W190" s="34"/>
      <c r="X190" t="s" s="8">
        <v>10</v>
      </c>
      <c r="Y190" t="s" s="33">
        <v>259</v>
      </c>
      <c r="Z190" t="s" s="8">
        <v>10</v>
      </c>
      <c r="AA190" t="s" s="33">
        <v>238</v>
      </c>
      <c r="AB190" t="s" s="8">
        <v>10</v>
      </c>
      <c r="AC190" t="s" s="33">
        <v>269</v>
      </c>
      <c r="AD190" s="72"/>
      <c r="AE190" s="7"/>
      <c r="AF190" s="7"/>
    </row>
    <row r="191" ht="13.55" customHeight="1">
      <c r="A191" s="23"/>
      <c r="B191" s="9"/>
      <c r="C191" s="9"/>
      <c r="D191" s="44"/>
      <c r="E191" s="9"/>
      <c r="F191" s="9"/>
      <c r="G191" s="3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39"/>
      <c r="AC191" s="23"/>
      <c r="AD191" s="13"/>
      <c r="AE191" s="7"/>
      <c r="AF191" s="7"/>
    </row>
    <row r="192" ht="13.75" customHeight="1">
      <c r="A192" s="154">
        <v>28</v>
      </c>
      <c r="B192" t="s" s="130">
        <v>272</v>
      </c>
      <c r="C192" s="9"/>
      <c r="D192" s="23"/>
      <c r="E192" t="s" s="8">
        <v>5</v>
      </c>
      <c r="F192" t="s" s="8">
        <v>6</v>
      </c>
      <c r="G192" s="16">
        <v>1170</v>
      </c>
      <c r="H192" t="s" s="8">
        <v>6</v>
      </c>
      <c r="I192" s="18"/>
      <c r="J192" t="s" s="8">
        <v>6</v>
      </c>
      <c r="K192" s="18"/>
      <c r="L192" t="s" s="8">
        <v>6</v>
      </c>
      <c r="M192" s="18"/>
      <c r="N192" t="s" s="8">
        <v>6</v>
      </c>
      <c r="O192" s="18"/>
      <c r="P192" t="s" s="8">
        <v>6</v>
      </c>
      <c r="Q192" s="18"/>
      <c r="R192" t="s" s="8">
        <v>6</v>
      </c>
      <c r="S192" s="18"/>
      <c r="T192" t="s" s="8">
        <v>6</v>
      </c>
      <c r="U192" s="18"/>
      <c r="V192" t="s" s="8">
        <v>6</v>
      </c>
      <c r="W192" s="18"/>
      <c r="X192" t="s" s="8">
        <v>6</v>
      </c>
      <c r="Y192" s="16">
        <v>2474</v>
      </c>
      <c r="Z192" t="s" s="8">
        <v>6</v>
      </c>
      <c r="AA192" s="16">
        <v>2909</v>
      </c>
      <c r="AB192" t="s" s="8">
        <v>6</v>
      </c>
      <c r="AC192" s="16">
        <v>3095</v>
      </c>
      <c r="AD192" s="71"/>
      <c r="AE192" s="7"/>
      <c r="AF192" s="7"/>
    </row>
    <row r="193" ht="13.55" customHeight="1">
      <c r="A193" s="155"/>
      <c r="B193" s="56"/>
      <c r="C193" s="42"/>
      <c r="D193" s="23"/>
      <c r="E193" s="9"/>
      <c r="F193" t="s" s="8">
        <v>8</v>
      </c>
      <c r="G193" s="26">
        <v>900</v>
      </c>
      <c r="H193" t="s" s="8">
        <v>8</v>
      </c>
      <c r="I193" s="27"/>
      <c r="J193" t="s" s="8">
        <v>8</v>
      </c>
      <c r="K193" s="27"/>
      <c r="L193" t="s" s="8">
        <v>8</v>
      </c>
      <c r="M193" s="27"/>
      <c r="N193" t="s" s="8">
        <v>8</v>
      </c>
      <c r="O193" s="27"/>
      <c r="P193" t="s" s="8">
        <v>8</v>
      </c>
      <c r="Q193" s="27"/>
      <c r="R193" t="s" s="8">
        <v>8</v>
      </c>
      <c r="S193" s="27"/>
      <c r="T193" t="s" s="8">
        <v>8</v>
      </c>
      <c r="U193" s="27"/>
      <c r="V193" t="s" s="8">
        <v>8</v>
      </c>
      <c r="W193" s="27"/>
      <c r="X193" t="s" s="8">
        <v>8</v>
      </c>
      <c r="Y193" s="26">
        <v>850</v>
      </c>
      <c r="Z193" t="s" s="8">
        <v>8</v>
      </c>
      <c r="AA193" s="26">
        <v>850</v>
      </c>
      <c r="AB193" t="s" s="8">
        <v>8</v>
      </c>
      <c r="AC193" s="26">
        <v>850</v>
      </c>
      <c r="AD193" s="132" cm="1">
        <f t="array" ref="AD193">G193+I193+K193+M193+O193+Q193+S193+U193+W193+Y193+AA193+AC193</f>
        <v>3450</v>
      </c>
      <c r="AE193" s="50" cm="1">
        <f t="array" ref="AE193">850*12</f>
        <v>10200</v>
      </c>
      <c r="AF193" s="51" cm="1">
        <f t="array" ref="AF193">AE193-AD193</f>
        <v>6750</v>
      </c>
    </row>
    <row r="194" ht="13.55" customHeight="1">
      <c r="A194" s="155"/>
      <c r="B194" s="9"/>
      <c r="C194" t="s" s="8">
        <v>9</v>
      </c>
      <c r="D194" s="25">
        <v>1000</v>
      </c>
      <c r="E194" s="9"/>
      <c r="F194" t="s" s="8">
        <v>10</v>
      </c>
      <c r="G194" t="s" s="33">
        <v>70</v>
      </c>
      <c r="H194" t="s" s="8">
        <v>10</v>
      </c>
      <c r="I194" s="34"/>
      <c r="J194" t="s" s="8">
        <v>10</v>
      </c>
      <c r="K194" s="34"/>
      <c r="L194" t="s" s="8">
        <v>10</v>
      </c>
      <c r="M194" s="34"/>
      <c r="N194" t="s" s="8">
        <v>10</v>
      </c>
      <c r="O194" s="34"/>
      <c r="P194" t="s" s="8">
        <v>10</v>
      </c>
      <c r="Q194" s="34"/>
      <c r="R194" t="s" s="8">
        <v>10</v>
      </c>
      <c r="S194" s="34"/>
      <c r="T194" t="s" s="8">
        <v>10</v>
      </c>
      <c r="U194" s="34"/>
      <c r="V194" t="s" s="8">
        <v>10</v>
      </c>
      <c r="W194" s="34"/>
      <c r="X194" t="s" s="8">
        <v>10</v>
      </c>
      <c r="Y194" t="s" s="33">
        <v>160</v>
      </c>
      <c r="Z194" t="s" s="8">
        <v>10</v>
      </c>
      <c r="AA194" t="s" s="33">
        <v>273</v>
      </c>
      <c r="AB194" t="s" s="8">
        <v>10</v>
      </c>
      <c r="AC194" t="s" s="33">
        <v>269</v>
      </c>
      <c r="AD194" s="131"/>
      <c r="AE194" s="13"/>
      <c r="AF194" s="7"/>
    </row>
    <row r="195" ht="13.75" customHeight="1">
      <c r="A195" s="155"/>
      <c r="B195" t="s" s="8">
        <v>274</v>
      </c>
      <c r="C195" s="9"/>
      <c r="D195" s="24"/>
      <c r="E195" t="s" s="8">
        <v>14</v>
      </c>
      <c r="F195" t="s" s="8">
        <v>6</v>
      </c>
      <c r="G195" s="16">
        <v>2085</v>
      </c>
      <c r="H195" t="s" s="8">
        <v>6</v>
      </c>
      <c r="I195" s="18"/>
      <c r="J195" t="s" s="8">
        <v>6</v>
      </c>
      <c r="K195" s="42"/>
      <c r="L195" t="s" s="8">
        <v>6</v>
      </c>
      <c r="M195" s="18"/>
      <c r="N195" t="s" s="8">
        <v>6</v>
      </c>
      <c r="O195" s="18"/>
      <c r="P195" t="s" s="8">
        <v>6</v>
      </c>
      <c r="Q195" s="18"/>
      <c r="R195" t="s" s="8">
        <v>6</v>
      </c>
      <c r="S195" s="18"/>
      <c r="T195" t="s" s="8">
        <v>6</v>
      </c>
      <c r="U195" s="18"/>
      <c r="V195" t="s" s="8">
        <v>6</v>
      </c>
      <c r="W195" s="18"/>
      <c r="X195" t="s" s="8">
        <v>6</v>
      </c>
      <c r="Y195" s="16">
        <v>1740</v>
      </c>
      <c r="Z195" t="s" s="8">
        <v>6</v>
      </c>
      <c r="AA195" s="16">
        <v>1738</v>
      </c>
      <c r="AB195" t="s" s="8">
        <v>6</v>
      </c>
      <c r="AC195" s="16">
        <v>1924</v>
      </c>
      <c r="AD195" s="131"/>
      <c r="AE195" s="13"/>
      <c r="AF195" s="7"/>
    </row>
    <row r="196" ht="13.55" customHeight="1">
      <c r="A196" s="155"/>
      <c r="B196" t="s" s="8">
        <v>275</v>
      </c>
      <c r="C196" s="9"/>
      <c r="D196" s="32"/>
      <c r="E196" s="9"/>
      <c r="F196" t="s" s="8">
        <v>8</v>
      </c>
      <c r="G196" s="26">
        <v>800</v>
      </c>
      <c r="H196" t="s" s="8">
        <v>8</v>
      </c>
      <c r="I196" s="27"/>
      <c r="J196" t="s" s="8">
        <v>8</v>
      </c>
      <c r="K196" s="42"/>
      <c r="L196" t="s" s="8">
        <v>8</v>
      </c>
      <c r="M196" s="27"/>
      <c r="N196" t="s" s="8">
        <v>8</v>
      </c>
      <c r="O196" s="27"/>
      <c r="P196" t="s" s="8">
        <v>8</v>
      </c>
      <c r="Q196" s="27"/>
      <c r="R196" t="s" s="8">
        <v>8</v>
      </c>
      <c r="S196" s="27"/>
      <c r="T196" t="s" s="8">
        <v>8</v>
      </c>
      <c r="U196" s="27"/>
      <c r="V196" t="s" s="8">
        <v>8</v>
      </c>
      <c r="W196" s="27"/>
      <c r="X196" t="s" s="8">
        <v>8</v>
      </c>
      <c r="Y196" s="26">
        <v>700</v>
      </c>
      <c r="Z196" t="s" s="8">
        <v>8</v>
      </c>
      <c r="AA196" s="26">
        <v>700</v>
      </c>
      <c r="AB196" t="s" s="8">
        <v>8</v>
      </c>
      <c r="AC196" s="26">
        <v>700</v>
      </c>
      <c r="AD196" s="132" cm="1">
        <f t="array" ref="AD196">G196+I196+K196+M196+O196+Q196+S196+U196+W196+Y196+AA196+AC196</f>
        <v>2900</v>
      </c>
      <c r="AE196" s="50" cm="1">
        <f t="array" ref="AE196">700*11</f>
        <v>7700</v>
      </c>
      <c r="AF196" s="51" cm="1">
        <f t="array" ref="AF196">AE196-AD196</f>
        <v>4800</v>
      </c>
    </row>
    <row r="197" ht="13.55" customHeight="1">
      <c r="A197" s="155"/>
      <c r="B197" s="24"/>
      <c r="C197" s="9"/>
      <c r="D197" s="32"/>
      <c r="E197" s="9"/>
      <c r="F197" t="s" s="8">
        <v>10</v>
      </c>
      <c r="G197" t="s" s="33">
        <v>70</v>
      </c>
      <c r="H197" t="s" s="8">
        <v>10</v>
      </c>
      <c r="I197" s="34"/>
      <c r="J197" t="s" s="8">
        <v>10</v>
      </c>
      <c r="K197" s="42"/>
      <c r="L197" t="s" s="8">
        <v>10</v>
      </c>
      <c r="M197" s="34"/>
      <c r="N197" t="s" s="8">
        <v>10</v>
      </c>
      <c r="O197" s="34"/>
      <c r="P197" t="s" s="8">
        <v>10</v>
      </c>
      <c r="Q197" s="34"/>
      <c r="R197" t="s" s="8">
        <v>10</v>
      </c>
      <c r="S197" s="34"/>
      <c r="T197" t="s" s="8">
        <v>10</v>
      </c>
      <c r="U197" s="34"/>
      <c r="V197" t="s" s="8">
        <v>10</v>
      </c>
      <c r="W197" s="34"/>
      <c r="X197" t="s" s="8">
        <v>10</v>
      </c>
      <c r="Y197" t="s" s="33">
        <v>160</v>
      </c>
      <c r="Z197" t="s" s="8">
        <v>10</v>
      </c>
      <c r="AA197" t="s" s="33">
        <v>273</v>
      </c>
      <c r="AB197" t="s" s="8">
        <v>10</v>
      </c>
      <c r="AC197" t="s" s="33">
        <v>269</v>
      </c>
      <c r="AD197" s="72"/>
      <c r="AE197" s="7"/>
      <c r="AF197" s="7"/>
    </row>
    <row r="198" ht="13.55" customHeight="1">
      <c r="A198" s="112"/>
      <c r="B198" s="125"/>
      <c r="C198" s="65"/>
      <c r="D198" s="111"/>
      <c r="E198" s="66"/>
      <c r="F198" s="66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39"/>
      <c r="AC198" s="23"/>
      <c r="AD198" s="13"/>
      <c r="AE198" s="7"/>
      <c r="AF198" s="7"/>
    </row>
    <row r="199" ht="13.75" customHeight="1">
      <c r="A199" s="154">
        <v>29</v>
      </c>
      <c r="B199" t="s" s="130">
        <v>276</v>
      </c>
      <c r="C199" s="9"/>
      <c r="D199" s="23"/>
      <c r="E199" t="s" s="8">
        <v>5</v>
      </c>
      <c r="F199" t="s" s="8">
        <v>6</v>
      </c>
      <c r="G199" s="16">
        <v>1182</v>
      </c>
      <c r="H199" t="s" s="8">
        <v>6</v>
      </c>
      <c r="I199" s="16">
        <v>1182</v>
      </c>
      <c r="J199" t="s" s="8">
        <v>6</v>
      </c>
      <c r="K199" s="16">
        <v>1182</v>
      </c>
      <c r="L199" t="s" s="8">
        <v>6</v>
      </c>
      <c r="M199" s="18"/>
      <c r="N199" t="s" s="8">
        <v>6</v>
      </c>
      <c r="O199" s="18"/>
      <c r="P199" t="s" s="8">
        <v>6</v>
      </c>
      <c r="Q199" s="18"/>
      <c r="R199" t="s" s="8">
        <v>6</v>
      </c>
      <c r="S199" s="18"/>
      <c r="T199" t="s" s="8">
        <v>6</v>
      </c>
      <c r="U199" s="18"/>
      <c r="V199" t="s" s="8">
        <v>6</v>
      </c>
      <c r="W199" s="18"/>
      <c r="X199" t="s" s="8">
        <v>6</v>
      </c>
      <c r="Y199" s="16">
        <v>2293</v>
      </c>
      <c r="Z199" t="s" s="8">
        <v>6</v>
      </c>
      <c r="AA199" s="16">
        <v>2958</v>
      </c>
      <c r="AB199" t="s" s="8">
        <v>6</v>
      </c>
      <c r="AC199" s="16">
        <v>3064</v>
      </c>
      <c r="AD199" s="71"/>
      <c r="AE199" s="7"/>
      <c r="AF199" s="7"/>
    </row>
    <row r="200" ht="13.55" customHeight="1">
      <c r="A200" s="155"/>
      <c r="B200" s="56"/>
      <c r="C200" s="9"/>
      <c r="D200" s="42"/>
      <c r="E200" s="9"/>
      <c r="F200" t="s" s="8">
        <v>8</v>
      </c>
      <c r="G200" s="26">
        <v>900</v>
      </c>
      <c r="H200" t="s" s="8">
        <v>8</v>
      </c>
      <c r="I200" s="26">
        <v>900</v>
      </c>
      <c r="J200" t="s" s="8">
        <v>8</v>
      </c>
      <c r="K200" s="26">
        <v>900</v>
      </c>
      <c r="L200" t="s" s="8">
        <v>8</v>
      </c>
      <c r="M200" s="27"/>
      <c r="N200" t="s" s="8">
        <v>8</v>
      </c>
      <c r="O200" s="27"/>
      <c r="P200" t="s" s="8">
        <v>8</v>
      </c>
      <c r="Q200" s="27"/>
      <c r="R200" t="s" s="8">
        <v>8</v>
      </c>
      <c r="S200" s="27"/>
      <c r="T200" t="s" s="8">
        <v>8</v>
      </c>
      <c r="U200" s="27"/>
      <c r="V200" t="s" s="8">
        <v>8</v>
      </c>
      <c r="W200" s="27"/>
      <c r="X200" t="s" s="8">
        <v>8</v>
      </c>
      <c r="Y200" s="26">
        <v>850</v>
      </c>
      <c r="Z200" t="s" s="8">
        <v>8</v>
      </c>
      <c r="AA200" s="26">
        <v>850</v>
      </c>
      <c r="AB200" t="s" s="8">
        <v>8</v>
      </c>
      <c r="AC200" s="26">
        <v>850</v>
      </c>
      <c r="AD200" s="132" cm="1">
        <f t="array" ref="AD200">G200+I200+K200+M200+O200+Q200+S200+U200+W200+Y200+AA200+AC200</f>
        <v>5250</v>
      </c>
      <c r="AE200" s="50" cm="1">
        <f t="array" ref="AE200">850*12</f>
        <v>10200</v>
      </c>
      <c r="AF200" s="51" cm="1">
        <f t="array" ref="AF200">AE200-AD200</f>
        <v>4950</v>
      </c>
    </row>
    <row r="201" ht="13.55" customHeight="1">
      <c r="A201" s="155"/>
      <c r="B201" s="9"/>
      <c r="C201" t="s" s="8">
        <v>9</v>
      </c>
      <c r="D201" s="25">
        <v>1000</v>
      </c>
      <c r="E201" s="9"/>
      <c r="F201" t="s" s="8">
        <v>10</v>
      </c>
      <c r="G201" t="s" s="33">
        <v>39</v>
      </c>
      <c r="H201" t="s" s="8">
        <v>10</v>
      </c>
      <c r="I201" t="s" s="33">
        <v>39</v>
      </c>
      <c r="J201" t="s" s="8">
        <v>10</v>
      </c>
      <c r="K201" t="s" s="33">
        <v>39</v>
      </c>
      <c r="L201" t="s" s="8">
        <v>10</v>
      </c>
      <c r="M201" s="34"/>
      <c r="N201" t="s" s="8">
        <v>10</v>
      </c>
      <c r="O201" s="34"/>
      <c r="P201" t="s" s="8">
        <v>10</v>
      </c>
      <c r="Q201" s="34"/>
      <c r="R201" t="s" s="8">
        <v>10</v>
      </c>
      <c r="S201" s="34"/>
      <c r="T201" t="s" s="8">
        <v>10</v>
      </c>
      <c r="U201" s="34"/>
      <c r="V201" t="s" s="8">
        <v>10</v>
      </c>
      <c r="W201" s="34"/>
      <c r="X201" t="s" s="8">
        <v>10</v>
      </c>
      <c r="Y201" t="s" s="33">
        <v>277</v>
      </c>
      <c r="Z201" t="s" s="8">
        <v>10</v>
      </c>
      <c r="AA201" t="s" s="33">
        <v>278</v>
      </c>
      <c r="AB201" t="s" s="8">
        <v>10</v>
      </c>
      <c r="AC201" t="s" s="33">
        <v>248</v>
      </c>
      <c r="AD201" s="131"/>
      <c r="AE201" s="13"/>
      <c r="AF201" s="7"/>
    </row>
    <row r="202" ht="13.75" customHeight="1">
      <c r="A202" s="155"/>
      <c r="B202" t="s" s="8">
        <v>279</v>
      </c>
      <c r="C202" s="9"/>
      <c r="D202" s="24"/>
      <c r="E202" t="s" s="8">
        <v>14</v>
      </c>
      <c r="F202" t="s" s="8">
        <v>6</v>
      </c>
      <c r="G202" s="16">
        <v>2096</v>
      </c>
      <c r="H202" t="s" s="8">
        <v>6</v>
      </c>
      <c r="I202" s="16">
        <v>2096</v>
      </c>
      <c r="J202" t="s" s="8">
        <v>6</v>
      </c>
      <c r="K202" s="42"/>
      <c r="L202" t="s" s="8">
        <v>6</v>
      </c>
      <c r="M202" s="18"/>
      <c r="N202" t="s" s="8">
        <v>6</v>
      </c>
      <c r="O202" s="18"/>
      <c r="P202" t="s" s="8">
        <v>6</v>
      </c>
      <c r="Q202" s="18"/>
      <c r="R202" t="s" s="8">
        <v>6</v>
      </c>
      <c r="S202" s="18"/>
      <c r="T202" t="s" s="8">
        <v>6</v>
      </c>
      <c r="U202" s="18"/>
      <c r="V202" t="s" s="8">
        <v>6</v>
      </c>
      <c r="W202" s="18"/>
      <c r="X202" t="s" s="8">
        <v>6</v>
      </c>
      <c r="Y202" s="16">
        <v>945</v>
      </c>
      <c r="Z202" t="s" s="8">
        <v>6</v>
      </c>
      <c r="AA202" s="16">
        <v>1812</v>
      </c>
      <c r="AB202" t="s" s="8">
        <v>6</v>
      </c>
      <c r="AC202" s="16">
        <v>1900</v>
      </c>
      <c r="AD202" s="131"/>
      <c r="AE202" s="13"/>
      <c r="AF202" s="7"/>
    </row>
    <row r="203" ht="13.55" customHeight="1">
      <c r="A203" s="155"/>
      <c r="B203" t="s" s="8">
        <v>280</v>
      </c>
      <c r="C203" s="9"/>
      <c r="D203" s="32"/>
      <c r="E203" s="9"/>
      <c r="F203" t="s" s="8">
        <v>8</v>
      </c>
      <c r="G203" s="26">
        <v>800</v>
      </c>
      <c r="H203" t="s" s="8">
        <v>8</v>
      </c>
      <c r="I203" s="26">
        <v>800</v>
      </c>
      <c r="J203" t="s" s="8">
        <v>8</v>
      </c>
      <c r="K203" s="42"/>
      <c r="L203" t="s" s="8">
        <v>8</v>
      </c>
      <c r="M203" s="27"/>
      <c r="N203" t="s" s="8">
        <v>8</v>
      </c>
      <c r="O203" s="27"/>
      <c r="P203" t="s" s="8">
        <v>8</v>
      </c>
      <c r="Q203" s="27"/>
      <c r="R203" t="s" s="8">
        <v>8</v>
      </c>
      <c r="S203" s="27"/>
      <c r="T203" t="s" s="8">
        <v>8</v>
      </c>
      <c r="U203" s="27"/>
      <c r="V203" t="s" s="8">
        <v>8</v>
      </c>
      <c r="W203" s="27"/>
      <c r="X203" t="s" s="8">
        <v>8</v>
      </c>
      <c r="Y203" s="26">
        <v>700</v>
      </c>
      <c r="Z203" t="s" s="8">
        <v>8</v>
      </c>
      <c r="AA203" s="26">
        <v>700</v>
      </c>
      <c r="AB203" t="s" s="8">
        <v>8</v>
      </c>
      <c r="AC203" s="26">
        <v>700</v>
      </c>
      <c r="AD203" s="132" cm="1">
        <f t="array" ref="AD203">G203+I203+K203+M203+O203+Q203+S203+U203+W203+Y203+AA203+AC203</f>
        <v>3700</v>
      </c>
      <c r="AE203" s="50" cm="1">
        <f t="array" ref="AE203">700*9</f>
        <v>6300</v>
      </c>
      <c r="AF203" s="51" cm="1">
        <f t="array" ref="AF203">AE203-AD203</f>
        <v>2600</v>
      </c>
    </row>
    <row r="204" ht="13.55" customHeight="1">
      <c r="A204" s="155"/>
      <c r="B204" s="24"/>
      <c r="C204" s="9"/>
      <c r="D204" s="32"/>
      <c r="E204" s="9"/>
      <c r="F204" t="s" s="8">
        <v>10</v>
      </c>
      <c r="G204" t="s" s="33">
        <v>39</v>
      </c>
      <c r="H204" t="s" s="8">
        <v>10</v>
      </c>
      <c r="I204" t="s" s="33">
        <v>39</v>
      </c>
      <c r="J204" t="s" s="8">
        <v>10</v>
      </c>
      <c r="K204" s="42"/>
      <c r="L204" t="s" s="8">
        <v>10</v>
      </c>
      <c r="M204" s="34"/>
      <c r="N204" t="s" s="8">
        <v>10</v>
      </c>
      <c r="O204" s="34"/>
      <c r="P204" t="s" s="8">
        <v>10</v>
      </c>
      <c r="Q204" s="34"/>
      <c r="R204" t="s" s="8">
        <v>10</v>
      </c>
      <c r="S204" s="34"/>
      <c r="T204" t="s" s="8">
        <v>10</v>
      </c>
      <c r="U204" s="34"/>
      <c r="V204" t="s" s="8">
        <v>10</v>
      </c>
      <c r="W204" s="34"/>
      <c r="X204" t="s" s="8">
        <v>10</v>
      </c>
      <c r="Y204" t="s" s="33">
        <v>277</v>
      </c>
      <c r="Z204" t="s" s="8">
        <v>10</v>
      </c>
      <c r="AA204" t="s" s="33">
        <v>278</v>
      </c>
      <c r="AB204" t="s" s="8">
        <v>10</v>
      </c>
      <c r="AC204" t="s" s="33">
        <v>248</v>
      </c>
      <c r="AD204" s="72"/>
      <c r="AE204" s="7"/>
      <c r="AF204" s="7"/>
    </row>
    <row r="205" ht="13.55" customHeight="1">
      <c r="A205" s="112"/>
      <c r="B205" s="125"/>
      <c r="C205" s="65"/>
      <c r="D205" s="111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39"/>
      <c r="AC205" s="23"/>
      <c r="AD205" s="71"/>
      <c r="AE205" s="7"/>
      <c r="AF205" s="7"/>
    </row>
    <row r="206" ht="13.75" customHeight="1">
      <c r="A206" s="154">
        <v>30</v>
      </c>
      <c r="B206" t="s" s="130">
        <v>281</v>
      </c>
      <c r="C206" s="9"/>
      <c r="D206" s="9"/>
      <c r="E206" t="s" s="8">
        <v>5</v>
      </c>
      <c r="F206" t="s" s="8">
        <v>6</v>
      </c>
      <c r="G206" s="158">
        <v>1134</v>
      </c>
      <c r="H206" t="s" s="8">
        <v>6</v>
      </c>
      <c r="I206" s="158">
        <v>1134</v>
      </c>
      <c r="J206" t="s" s="8">
        <v>6</v>
      </c>
      <c r="K206" s="158">
        <v>1134</v>
      </c>
      <c r="L206" t="s" s="8">
        <v>6</v>
      </c>
      <c r="M206" s="159"/>
      <c r="N206" t="s" s="8">
        <v>6</v>
      </c>
      <c r="O206" s="18"/>
      <c r="P206" t="s" s="8">
        <v>6</v>
      </c>
      <c r="Q206" s="18"/>
      <c r="R206" t="s" s="8">
        <v>6</v>
      </c>
      <c r="S206" s="18"/>
      <c r="T206" t="s" s="8">
        <v>6</v>
      </c>
      <c r="U206" s="18"/>
      <c r="V206" t="s" s="8">
        <v>6</v>
      </c>
      <c r="W206" s="131"/>
      <c r="X206" t="s" s="8">
        <v>6</v>
      </c>
      <c r="Y206" s="132">
        <v>2310</v>
      </c>
      <c r="Z206" t="s" s="8">
        <v>6</v>
      </c>
      <c r="AA206" s="132">
        <v>2487</v>
      </c>
      <c r="AB206" t="s" s="8">
        <v>6</v>
      </c>
      <c r="AC206" s="132">
        <v>3011</v>
      </c>
      <c r="AD206" s="131"/>
      <c r="AE206" s="13"/>
      <c r="AF206" s="7"/>
    </row>
    <row r="207" ht="13.75" customHeight="1">
      <c r="A207" s="155"/>
      <c r="B207" s="131"/>
      <c r="C207" s="9"/>
      <c r="D207" s="42"/>
      <c r="E207" s="9"/>
      <c r="F207" t="s" s="8">
        <v>8</v>
      </c>
      <c r="G207" s="160">
        <v>900</v>
      </c>
      <c r="H207" t="s" s="8">
        <v>8</v>
      </c>
      <c r="I207" s="160">
        <v>900</v>
      </c>
      <c r="J207" t="s" s="8">
        <v>8</v>
      </c>
      <c r="K207" s="160">
        <v>900</v>
      </c>
      <c r="L207" t="s" s="8">
        <v>8</v>
      </c>
      <c r="M207" s="161"/>
      <c r="N207" t="s" s="8">
        <v>8</v>
      </c>
      <c r="O207" s="27"/>
      <c r="P207" t="s" s="8">
        <v>8</v>
      </c>
      <c r="Q207" s="27"/>
      <c r="R207" t="s" s="8">
        <v>8</v>
      </c>
      <c r="S207" s="27"/>
      <c r="T207" t="s" s="8">
        <v>8</v>
      </c>
      <c r="U207" s="27"/>
      <c r="V207" t="s" s="8">
        <v>8</v>
      </c>
      <c r="W207" s="27"/>
      <c r="X207" t="s" s="8">
        <v>8</v>
      </c>
      <c r="Y207" s="26">
        <v>850</v>
      </c>
      <c r="Z207" t="s" s="8">
        <v>8</v>
      </c>
      <c r="AA207" s="26">
        <v>850</v>
      </c>
      <c r="AB207" t="s" s="8">
        <v>8</v>
      </c>
      <c r="AC207" s="26">
        <v>850</v>
      </c>
      <c r="AD207" s="132" cm="1">
        <f t="array" ref="AD207">G207+I207+K207+M207+O207+Q207+S207+U207+W207+Y207+AA207+AC207</f>
        <v>5250</v>
      </c>
      <c r="AE207" s="50" cm="1">
        <f t="array" ref="AE207">850*8</f>
        <v>6800</v>
      </c>
      <c r="AF207" s="51" cm="1">
        <f t="array" ref="AF207">AD207-AE207</f>
        <v>-1550</v>
      </c>
    </row>
    <row r="208" ht="13.75" customHeight="1">
      <c r="A208" s="155"/>
      <c r="B208" s="9"/>
      <c r="C208" t="s" s="8">
        <v>9</v>
      </c>
      <c r="D208" s="25">
        <v>1000</v>
      </c>
      <c r="E208" s="9"/>
      <c r="F208" t="s" s="8">
        <v>10</v>
      </c>
      <c r="G208" t="s" s="33">
        <v>31</v>
      </c>
      <c r="H208" t="s" s="8">
        <v>10</v>
      </c>
      <c r="I208" t="s" s="33">
        <v>31</v>
      </c>
      <c r="J208" t="s" s="8">
        <v>10</v>
      </c>
      <c r="K208" t="s" s="33">
        <v>31</v>
      </c>
      <c r="L208" t="s" s="8">
        <v>10</v>
      </c>
      <c r="M208" s="162"/>
      <c r="N208" t="s" s="8">
        <v>10</v>
      </c>
      <c r="O208" s="34"/>
      <c r="P208" t="s" s="8">
        <v>10</v>
      </c>
      <c r="Q208" s="34"/>
      <c r="R208" t="s" s="8">
        <v>10</v>
      </c>
      <c r="S208" s="34"/>
      <c r="T208" t="s" s="8">
        <v>10</v>
      </c>
      <c r="U208" s="34"/>
      <c r="V208" t="s" s="8">
        <v>10</v>
      </c>
      <c r="W208" s="46"/>
      <c r="X208" t="s" s="8">
        <v>10</v>
      </c>
      <c r="Y208" t="s" s="163">
        <v>164</v>
      </c>
      <c r="Z208" t="s" s="8">
        <v>10</v>
      </c>
      <c r="AA208" t="s" s="163">
        <v>282</v>
      </c>
      <c r="AB208" t="s" s="8">
        <v>10</v>
      </c>
      <c r="AC208" t="s" s="163">
        <v>216</v>
      </c>
      <c r="AD208" s="131"/>
      <c r="AE208" s="13"/>
      <c r="AF208" s="7"/>
    </row>
    <row r="209" ht="13.75" customHeight="1">
      <c r="A209" s="155"/>
      <c r="B209" t="s" s="8">
        <v>283</v>
      </c>
      <c r="C209" s="72"/>
      <c r="D209" s="164"/>
      <c r="E209" t="s" s="8">
        <v>14</v>
      </c>
      <c r="F209" t="s" s="8">
        <v>6</v>
      </c>
      <c r="G209" s="16">
        <v>2057</v>
      </c>
      <c r="H209" t="s" s="8">
        <v>6</v>
      </c>
      <c r="I209" s="16">
        <v>2057</v>
      </c>
      <c r="J209" t="s" s="8">
        <v>6</v>
      </c>
      <c r="K209" s="42"/>
      <c r="L209" t="s" s="8">
        <v>6</v>
      </c>
      <c r="M209" s="18"/>
      <c r="N209" t="s" s="8">
        <v>6</v>
      </c>
      <c r="O209" s="18"/>
      <c r="P209" t="s" s="8">
        <v>6</v>
      </c>
      <c r="Q209" s="18"/>
      <c r="R209" t="s" s="8">
        <v>6</v>
      </c>
      <c r="S209" s="18"/>
      <c r="T209" t="s" s="8">
        <v>6</v>
      </c>
      <c r="U209" s="18"/>
      <c r="V209" t="s" s="8">
        <v>6</v>
      </c>
      <c r="W209" s="18"/>
      <c r="X209" t="s" s="8">
        <v>6</v>
      </c>
      <c r="Y209" s="132">
        <v>960</v>
      </c>
      <c r="Z209" t="s" s="8">
        <v>6</v>
      </c>
      <c r="AA209" s="132">
        <v>1751</v>
      </c>
      <c r="AB209" t="s" s="8">
        <v>6</v>
      </c>
      <c r="AC209" s="132">
        <v>1854</v>
      </c>
      <c r="AD209" s="38"/>
      <c r="AE209" s="7"/>
      <c r="AF209" s="7"/>
    </row>
    <row r="210" ht="13.55" customHeight="1">
      <c r="A210" s="155"/>
      <c r="B210" t="s" s="8">
        <v>284</v>
      </c>
      <c r="C210" s="13"/>
      <c r="D210" s="165"/>
      <c r="E210" s="9"/>
      <c r="F210" t="s" s="8">
        <v>8</v>
      </c>
      <c r="G210" s="26">
        <v>1000</v>
      </c>
      <c r="H210" t="s" s="8">
        <v>8</v>
      </c>
      <c r="I210" s="26">
        <v>1000</v>
      </c>
      <c r="J210" t="s" s="8">
        <v>8</v>
      </c>
      <c r="K210" s="42"/>
      <c r="L210" t="s" s="8">
        <v>8</v>
      </c>
      <c r="M210" s="27"/>
      <c r="N210" t="s" s="8">
        <v>8</v>
      </c>
      <c r="O210" s="27"/>
      <c r="P210" t="s" s="8">
        <v>8</v>
      </c>
      <c r="Q210" s="27"/>
      <c r="R210" t="s" s="8">
        <v>8</v>
      </c>
      <c r="S210" s="27"/>
      <c r="T210" t="s" s="8">
        <v>8</v>
      </c>
      <c r="U210" s="27"/>
      <c r="V210" t="s" s="8">
        <v>8</v>
      </c>
      <c r="W210" s="27"/>
      <c r="X210" t="s" s="8">
        <v>8</v>
      </c>
      <c r="Y210" s="26">
        <v>900</v>
      </c>
      <c r="Z210" t="s" s="8">
        <v>8</v>
      </c>
      <c r="AA210" s="26">
        <v>900</v>
      </c>
      <c r="AB210" t="s" s="8">
        <v>8</v>
      </c>
      <c r="AC210" s="26">
        <v>900</v>
      </c>
      <c r="AD210" s="132" cm="1">
        <f t="array" ref="AD210">G210+I210+K210+M210+O210+Q210+S210+U210+W210+Y210+AA210+AC210</f>
        <v>4700</v>
      </c>
      <c r="AE210" s="50" cm="1">
        <f t="array" ref="AE210">900*8</f>
        <v>7200</v>
      </c>
      <c r="AF210" s="51" cm="1">
        <f t="array" ref="AF210">AD210-AE210</f>
        <v>-2500</v>
      </c>
    </row>
    <row r="211" ht="13.55" customHeight="1">
      <c r="A211" s="155"/>
      <c r="B211" s="9"/>
      <c r="C211" s="13"/>
      <c r="D211" s="165"/>
      <c r="E211" s="9"/>
      <c r="F211" t="s" s="8">
        <v>10</v>
      </c>
      <c r="G211" t="s" s="33">
        <v>31</v>
      </c>
      <c r="H211" t="s" s="8">
        <v>10</v>
      </c>
      <c r="I211" t="s" s="33">
        <v>31</v>
      </c>
      <c r="J211" t="s" s="8">
        <v>10</v>
      </c>
      <c r="K211" s="42"/>
      <c r="L211" t="s" s="8">
        <v>10</v>
      </c>
      <c r="M211" s="34"/>
      <c r="N211" t="s" s="8">
        <v>10</v>
      </c>
      <c r="O211" s="34"/>
      <c r="P211" t="s" s="8">
        <v>10</v>
      </c>
      <c r="Q211" s="34"/>
      <c r="R211" t="s" s="8">
        <v>10</v>
      </c>
      <c r="S211" s="34"/>
      <c r="T211" t="s" s="8">
        <v>10</v>
      </c>
      <c r="U211" s="34"/>
      <c r="V211" t="s" s="8">
        <v>10</v>
      </c>
      <c r="W211" s="34"/>
      <c r="X211" t="s" s="8">
        <v>10</v>
      </c>
      <c r="Y211" t="s" s="163">
        <v>164</v>
      </c>
      <c r="Z211" t="s" s="8">
        <v>10</v>
      </c>
      <c r="AA211" t="s" s="163">
        <v>282</v>
      </c>
      <c r="AB211" t="s" s="8">
        <v>10</v>
      </c>
      <c r="AC211" t="s" s="163">
        <v>216</v>
      </c>
      <c r="AD211" s="72"/>
      <c r="AE211" s="7"/>
      <c r="AF211" s="7"/>
    </row>
    <row r="212" ht="13.55" customHeight="1">
      <c r="A212" s="112"/>
      <c r="B212" s="113"/>
      <c r="C212" s="111"/>
      <c r="D212" s="111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70"/>
      <c r="S212" s="70"/>
      <c r="T212" s="70"/>
      <c r="U212" s="70"/>
      <c r="V212" s="70"/>
      <c r="W212" s="70"/>
      <c r="X212" s="166">
        <v>0</v>
      </c>
      <c r="Y212" s="70"/>
      <c r="Z212" s="70"/>
      <c r="AA212" s="70"/>
      <c r="AB212" s="70"/>
      <c r="AC212" s="70"/>
      <c r="AD212" s="7"/>
      <c r="AE212" s="7"/>
      <c r="AF212" s="7"/>
    </row>
    <row r="213" ht="13.75" customHeight="1">
      <c r="A213" s="154">
        <v>31</v>
      </c>
      <c r="B213" t="s" s="130">
        <v>285</v>
      </c>
      <c r="C213" s="9"/>
      <c r="D213" s="9"/>
      <c r="E213" t="s" s="8">
        <v>5</v>
      </c>
      <c r="F213" t="s" s="8">
        <v>6</v>
      </c>
      <c r="G213" s="158">
        <v>1220</v>
      </c>
      <c r="H213" t="s" s="8">
        <v>6</v>
      </c>
      <c r="I213" s="158">
        <v>1220</v>
      </c>
      <c r="J213" t="s" s="8">
        <v>6</v>
      </c>
      <c r="K213" s="167"/>
      <c r="L213" t="s" s="8">
        <v>6</v>
      </c>
      <c r="M213" s="159"/>
      <c r="N213" t="s" s="8">
        <v>6</v>
      </c>
      <c r="O213" s="18"/>
      <c r="P213" t="s" s="8">
        <v>6</v>
      </c>
      <c r="Q213" s="18"/>
      <c r="R213" s="13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3.75" customHeight="1">
      <c r="A214" s="155"/>
      <c r="B214" t="s" s="124">
        <v>68</v>
      </c>
      <c r="C214" t="s" s="8">
        <v>7</v>
      </c>
      <c r="D214" s="25">
        <v>1000</v>
      </c>
      <c r="E214" s="9"/>
      <c r="F214" t="s" s="8">
        <v>8</v>
      </c>
      <c r="G214" s="160">
        <v>900</v>
      </c>
      <c r="H214" t="s" s="8">
        <v>8</v>
      </c>
      <c r="I214" s="160">
        <v>900</v>
      </c>
      <c r="J214" t="s" s="8">
        <v>8</v>
      </c>
      <c r="K214" s="167"/>
      <c r="L214" t="s" s="8">
        <v>8</v>
      </c>
      <c r="M214" s="161"/>
      <c r="N214" t="s" s="8">
        <v>8</v>
      </c>
      <c r="O214" s="27"/>
      <c r="P214" t="s" s="8">
        <v>8</v>
      </c>
      <c r="Q214" s="27"/>
      <c r="R214" s="13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3.75" customHeight="1">
      <c r="A215" s="155"/>
      <c r="B215" s="168"/>
      <c r="C215" t="s" s="8">
        <v>9</v>
      </c>
      <c r="D215" s="25">
        <v>1000</v>
      </c>
      <c r="E215" s="9"/>
      <c r="F215" t="s" s="8">
        <v>10</v>
      </c>
      <c r="G215" t="s" s="33">
        <v>196</v>
      </c>
      <c r="H215" t="s" s="8">
        <v>10</v>
      </c>
      <c r="I215" t="s" s="33">
        <v>196</v>
      </c>
      <c r="J215" t="s" s="8">
        <v>10</v>
      </c>
      <c r="K215" s="167"/>
      <c r="L215" t="s" s="8">
        <v>10</v>
      </c>
      <c r="M215" s="162"/>
      <c r="N215" t="s" s="8">
        <v>10</v>
      </c>
      <c r="O215" s="34"/>
      <c r="P215" t="s" s="8">
        <v>10</v>
      </c>
      <c r="Q215" s="34"/>
      <c r="R215" s="13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3.75" customHeight="1">
      <c r="A216" s="155"/>
      <c r="B216" t="s" s="8">
        <v>286</v>
      </c>
      <c r="C216" s="72"/>
      <c r="D216" s="164"/>
      <c r="E216" t="s" s="8">
        <v>14</v>
      </c>
      <c r="F216" t="s" s="8">
        <v>6</v>
      </c>
      <c r="G216" s="16">
        <v>2022</v>
      </c>
      <c r="H216" t="s" s="8">
        <v>6</v>
      </c>
      <c r="I216" s="158">
        <v>2188</v>
      </c>
      <c r="J216" t="s" s="8">
        <v>6</v>
      </c>
      <c r="K216" s="42"/>
      <c r="L216" t="s" s="8">
        <v>6</v>
      </c>
      <c r="M216" s="18"/>
      <c r="N216" t="s" s="8">
        <v>6</v>
      </c>
      <c r="O216" s="18"/>
      <c r="P216" t="s" s="8">
        <v>6</v>
      </c>
      <c r="Q216" s="18"/>
      <c r="R216" s="13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3.75" customHeight="1">
      <c r="A217" s="155"/>
      <c r="B217" t="s" s="8">
        <v>287</v>
      </c>
      <c r="C217" s="13"/>
      <c r="D217" s="165"/>
      <c r="E217" s="9"/>
      <c r="F217" t="s" s="8">
        <v>8</v>
      </c>
      <c r="G217" s="26">
        <v>600</v>
      </c>
      <c r="H217" t="s" s="8">
        <v>8</v>
      </c>
      <c r="I217" s="160">
        <v>600</v>
      </c>
      <c r="J217" t="s" s="8">
        <v>8</v>
      </c>
      <c r="K217" s="42"/>
      <c r="L217" t="s" s="8">
        <v>8</v>
      </c>
      <c r="M217" s="27"/>
      <c r="N217" t="s" s="8">
        <v>8</v>
      </c>
      <c r="O217" s="27"/>
      <c r="P217" t="s" s="8">
        <v>8</v>
      </c>
      <c r="Q217" s="27"/>
      <c r="R217" s="13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3.55" customHeight="1">
      <c r="A218" s="155"/>
      <c r="B218" s="9"/>
      <c r="C218" s="13"/>
      <c r="D218" s="165"/>
      <c r="E218" s="9"/>
      <c r="F218" t="s" s="8">
        <v>10</v>
      </c>
      <c r="G218" t="s" s="33">
        <v>17</v>
      </c>
      <c r="H218" t="s" s="8">
        <v>10</v>
      </c>
      <c r="I218" t="s" s="33">
        <v>55</v>
      </c>
      <c r="J218" t="s" s="8">
        <v>10</v>
      </c>
      <c r="K218" s="42"/>
      <c r="L218" t="s" s="8">
        <v>10</v>
      </c>
      <c r="M218" s="34"/>
      <c r="N218" t="s" s="8">
        <v>10</v>
      </c>
      <c r="O218" s="34"/>
      <c r="P218" t="s" s="8">
        <v>10</v>
      </c>
      <c r="Q218" s="34"/>
      <c r="R218" s="13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3.55" customHeight="1">
      <c r="A219" s="112"/>
      <c r="B219" s="113"/>
      <c r="C219" s="111"/>
      <c r="D219" s="111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3.75" customHeight="1">
      <c r="A220" s="154">
        <v>32</v>
      </c>
      <c r="B220" t="s" s="130">
        <v>288</v>
      </c>
      <c r="C220" s="9"/>
      <c r="D220" s="9"/>
      <c r="E220" t="s" s="8">
        <v>5</v>
      </c>
      <c r="F220" t="s" s="8">
        <v>6</v>
      </c>
      <c r="G220" s="167"/>
      <c r="H220" t="s" s="8">
        <v>6</v>
      </c>
      <c r="I220" s="167"/>
      <c r="J220" t="s" s="8">
        <v>6</v>
      </c>
      <c r="K220" s="167"/>
      <c r="L220" t="s" s="8">
        <v>6</v>
      </c>
      <c r="M220" s="159"/>
      <c r="N220" t="s" s="8">
        <v>6</v>
      </c>
      <c r="O220" s="18"/>
      <c r="P220" t="s" s="8">
        <v>6</v>
      </c>
      <c r="Q220" s="18"/>
      <c r="R220" s="13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3.75" customHeight="1">
      <c r="A221" s="155"/>
      <c r="B221" t="s" s="124">
        <v>68</v>
      </c>
      <c r="C221" t="s" s="8">
        <v>7</v>
      </c>
      <c r="D221" s="25">
        <v>1000</v>
      </c>
      <c r="E221" t="s" s="8">
        <v>47</v>
      </c>
      <c r="F221" t="s" s="8">
        <v>8</v>
      </c>
      <c r="G221" s="167"/>
      <c r="H221" t="s" s="8">
        <v>8</v>
      </c>
      <c r="I221" s="167"/>
      <c r="J221" t="s" s="8">
        <v>8</v>
      </c>
      <c r="K221" s="167"/>
      <c r="L221" t="s" s="8">
        <v>8</v>
      </c>
      <c r="M221" s="161"/>
      <c r="N221" t="s" s="8">
        <v>8</v>
      </c>
      <c r="O221" s="27"/>
      <c r="P221" t="s" s="8">
        <v>8</v>
      </c>
      <c r="Q221" s="27"/>
      <c r="R221" s="13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3.75" customHeight="1">
      <c r="A222" s="155"/>
      <c r="B222" s="23"/>
      <c r="C222" t="s" s="8">
        <v>9</v>
      </c>
      <c r="D222" s="42"/>
      <c r="E222" s="9"/>
      <c r="F222" t="s" s="8">
        <v>10</v>
      </c>
      <c r="G222" s="167"/>
      <c r="H222" t="s" s="8">
        <v>10</v>
      </c>
      <c r="I222" s="167"/>
      <c r="J222" t="s" s="8">
        <v>10</v>
      </c>
      <c r="K222" s="167"/>
      <c r="L222" t="s" s="8">
        <v>10</v>
      </c>
      <c r="M222" s="162"/>
      <c r="N222" t="s" s="8">
        <v>10</v>
      </c>
      <c r="O222" s="34"/>
      <c r="P222" t="s" s="8">
        <v>10</v>
      </c>
      <c r="Q222" s="34"/>
      <c r="R222" s="13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3.75" customHeight="1">
      <c r="A223" s="155"/>
      <c r="B223" t="s" s="8">
        <v>289</v>
      </c>
      <c r="C223" s="72"/>
      <c r="D223" s="164"/>
      <c r="E223" t="s" s="8">
        <v>14</v>
      </c>
      <c r="F223" t="s" s="8">
        <v>6</v>
      </c>
      <c r="G223" s="18"/>
      <c r="H223" t="s" s="8">
        <v>6</v>
      </c>
      <c r="I223" s="18"/>
      <c r="J223" t="s" s="8">
        <v>6</v>
      </c>
      <c r="K223" s="42"/>
      <c r="L223" t="s" s="8">
        <v>6</v>
      </c>
      <c r="M223" s="18"/>
      <c r="N223" t="s" s="8">
        <v>6</v>
      </c>
      <c r="O223" s="18"/>
      <c r="P223" t="s" s="8">
        <v>6</v>
      </c>
      <c r="Q223" s="18"/>
      <c r="R223" s="13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3.55" customHeight="1">
      <c r="A224" s="155"/>
      <c r="B224" t="s" s="8">
        <v>290</v>
      </c>
      <c r="C224" s="71"/>
      <c r="D224" s="165"/>
      <c r="E224" s="9"/>
      <c r="F224" t="s" s="8">
        <v>8</v>
      </c>
      <c r="G224" s="27"/>
      <c r="H224" t="s" s="8">
        <v>8</v>
      </c>
      <c r="I224" s="27"/>
      <c r="J224" t="s" s="8">
        <v>8</v>
      </c>
      <c r="K224" s="42"/>
      <c r="L224" t="s" s="8">
        <v>8</v>
      </c>
      <c r="M224" s="27"/>
      <c r="N224" t="s" s="8">
        <v>8</v>
      </c>
      <c r="O224" s="27"/>
      <c r="P224" t="s" s="8">
        <v>8</v>
      </c>
      <c r="Q224" s="27"/>
      <c r="R224" s="13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3.75" customHeight="1">
      <c r="A225" s="155"/>
      <c r="B225" s="9"/>
      <c r="C225" s="123"/>
      <c r="D225" s="32"/>
      <c r="E225" s="9"/>
      <c r="F225" t="s" s="8">
        <v>10</v>
      </c>
      <c r="G225" s="34"/>
      <c r="H225" t="s" s="8">
        <v>10</v>
      </c>
      <c r="I225" s="34"/>
      <c r="J225" t="s" s="8">
        <v>10</v>
      </c>
      <c r="K225" s="42"/>
      <c r="L225" t="s" s="8">
        <v>10</v>
      </c>
      <c r="M225" s="34"/>
      <c r="N225" t="s" s="8">
        <v>10</v>
      </c>
      <c r="O225" s="34"/>
      <c r="P225" t="s" s="8">
        <v>10</v>
      </c>
      <c r="Q225" s="34"/>
      <c r="R225" s="13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3.55" customHeight="1">
      <c r="A226" s="112"/>
      <c r="B226" s="113"/>
      <c r="C226" s="65"/>
      <c r="D226" s="111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3.75" customHeight="1">
      <c r="A227" s="154">
        <v>33</v>
      </c>
      <c r="B227" t="s" s="130">
        <v>291</v>
      </c>
      <c r="C227" s="9"/>
      <c r="D227" s="9"/>
      <c r="E227" t="s" s="8">
        <v>5</v>
      </c>
      <c r="F227" t="s" s="8">
        <v>6</v>
      </c>
      <c r="G227" s="158">
        <v>1068</v>
      </c>
      <c r="H227" t="s" s="8">
        <v>6</v>
      </c>
      <c r="I227" s="158">
        <v>1068</v>
      </c>
      <c r="J227" t="s" s="8">
        <v>6</v>
      </c>
      <c r="K227" s="158">
        <v>3274</v>
      </c>
      <c r="L227" t="s" s="8">
        <v>6</v>
      </c>
      <c r="M227" s="159"/>
      <c r="N227" t="s" s="8">
        <v>6</v>
      </c>
      <c r="O227" s="18"/>
      <c r="P227" t="s" s="8">
        <v>6</v>
      </c>
      <c r="Q227" s="18"/>
      <c r="R227" s="13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3.75" customHeight="1">
      <c r="A228" s="155"/>
      <c r="B228" t="s" s="124">
        <v>68</v>
      </c>
      <c r="C228" t="s" s="8">
        <v>7</v>
      </c>
      <c r="D228" s="25">
        <v>1000</v>
      </c>
      <c r="E228" s="9"/>
      <c r="F228" t="s" s="8">
        <v>8</v>
      </c>
      <c r="G228" s="160">
        <v>450</v>
      </c>
      <c r="H228" t="s" s="8">
        <v>8</v>
      </c>
      <c r="I228" s="160">
        <v>450</v>
      </c>
      <c r="J228" t="s" s="8">
        <v>8</v>
      </c>
      <c r="K228" s="160">
        <v>450</v>
      </c>
      <c r="L228" t="s" s="8">
        <v>8</v>
      </c>
      <c r="M228" s="161"/>
      <c r="N228" t="s" s="8">
        <v>8</v>
      </c>
      <c r="O228" s="27"/>
      <c r="P228" t="s" s="8">
        <v>8</v>
      </c>
      <c r="Q228" s="27"/>
      <c r="R228" s="13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3.75" customHeight="1">
      <c r="A229" s="155"/>
      <c r="B229" t="s" s="87">
        <v>69</v>
      </c>
      <c r="C229" t="s" s="8">
        <v>9</v>
      </c>
      <c r="D229" s="25">
        <v>1000</v>
      </c>
      <c r="E229" s="9"/>
      <c r="F229" t="s" s="8">
        <v>10</v>
      </c>
      <c r="G229" t="s" s="33">
        <v>159</v>
      </c>
      <c r="H229" t="s" s="8">
        <v>10</v>
      </c>
      <c r="I229" t="s" s="33">
        <v>159</v>
      </c>
      <c r="J229" t="s" s="8">
        <v>10</v>
      </c>
      <c r="K229" t="s" s="33">
        <v>292</v>
      </c>
      <c r="L229" t="s" s="8">
        <v>10</v>
      </c>
      <c r="M229" s="162"/>
      <c r="N229" t="s" s="8">
        <v>10</v>
      </c>
      <c r="O229" s="34"/>
      <c r="P229" t="s" s="8">
        <v>10</v>
      </c>
      <c r="Q229" s="34"/>
      <c r="R229" s="13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3.75" customHeight="1">
      <c r="A230" s="155"/>
      <c r="B230" t="s" s="8">
        <v>293</v>
      </c>
      <c r="C230" s="72"/>
      <c r="D230" s="164"/>
      <c r="E230" t="s" s="8">
        <v>14</v>
      </c>
      <c r="F230" t="s" s="8">
        <v>6</v>
      </c>
      <c r="G230" s="18"/>
      <c r="H230" t="s" s="8">
        <v>6</v>
      </c>
      <c r="I230" s="18"/>
      <c r="J230" t="s" s="8">
        <v>6</v>
      </c>
      <c r="K230" s="42"/>
      <c r="L230" t="s" s="8">
        <v>6</v>
      </c>
      <c r="M230" s="18"/>
      <c r="N230" t="s" s="8">
        <v>6</v>
      </c>
      <c r="O230" s="18"/>
      <c r="P230" t="s" s="8">
        <v>6</v>
      </c>
      <c r="Q230" s="18"/>
      <c r="R230" s="13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3.55" customHeight="1">
      <c r="A231" s="155"/>
      <c r="B231" t="s" s="8">
        <v>294</v>
      </c>
      <c r="C231" s="13"/>
      <c r="D231" s="165"/>
      <c r="E231" s="9"/>
      <c r="F231" t="s" s="8">
        <v>8</v>
      </c>
      <c r="G231" s="27"/>
      <c r="H231" t="s" s="8">
        <v>8</v>
      </c>
      <c r="I231" s="27"/>
      <c r="J231" t="s" s="8">
        <v>8</v>
      </c>
      <c r="K231" s="42"/>
      <c r="L231" t="s" s="8">
        <v>8</v>
      </c>
      <c r="M231" s="27"/>
      <c r="N231" t="s" s="8">
        <v>8</v>
      </c>
      <c r="O231" s="27"/>
      <c r="P231" t="s" s="8">
        <v>8</v>
      </c>
      <c r="Q231" s="27"/>
      <c r="R231" s="13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3.55" customHeight="1">
      <c r="A232" s="155"/>
      <c r="B232" s="9"/>
      <c r="C232" s="13"/>
      <c r="D232" s="165"/>
      <c r="E232" s="9"/>
      <c r="F232" t="s" s="8">
        <v>10</v>
      </c>
      <c r="G232" s="34"/>
      <c r="H232" t="s" s="8">
        <v>10</v>
      </c>
      <c r="I232" s="34"/>
      <c r="J232" t="s" s="8">
        <v>10</v>
      </c>
      <c r="K232" s="42"/>
      <c r="L232" t="s" s="8">
        <v>10</v>
      </c>
      <c r="M232" s="34"/>
      <c r="N232" t="s" s="8">
        <v>10</v>
      </c>
      <c r="O232" s="34"/>
      <c r="P232" t="s" s="8">
        <v>10</v>
      </c>
      <c r="Q232" s="34"/>
      <c r="R232" s="13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3.55" customHeight="1">
      <c r="A233" s="112"/>
      <c r="B233" s="113"/>
      <c r="C233" s="111"/>
      <c r="D233" s="111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3.75" customHeight="1">
      <c r="A234" s="154">
        <v>34</v>
      </c>
      <c r="B234" t="s" s="130">
        <v>295</v>
      </c>
      <c r="C234" s="9"/>
      <c r="D234" s="9"/>
      <c r="E234" t="s" s="8">
        <v>5</v>
      </c>
      <c r="F234" t="s" s="8">
        <v>6</v>
      </c>
      <c r="G234" s="158">
        <v>1105</v>
      </c>
      <c r="H234" t="s" s="8">
        <v>6</v>
      </c>
      <c r="I234" s="158">
        <v>1105</v>
      </c>
      <c r="J234" t="s" s="8">
        <v>6</v>
      </c>
      <c r="K234" s="158">
        <v>1105</v>
      </c>
      <c r="L234" t="s" s="8">
        <v>6</v>
      </c>
      <c r="M234" s="159"/>
      <c r="N234" t="s" s="8">
        <v>6</v>
      </c>
      <c r="O234" s="18"/>
      <c r="P234" t="s" s="8">
        <v>6</v>
      </c>
      <c r="Q234" s="18"/>
      <c r="R234" s="13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3.75" customHeight="1">
      <c r="A235" s="155"/>
      <c r="B235" s="23"/>
      <c r="C235" s="9"/>
      <c r="D235" s="42"/>
      <c r="E235" s="9"/>
      <c r="F235" t="s" s="8">
        <v>8</v>
      </c>
      <c r="G235" s="160">
        <v>450</v>
      </c>
      <c r="H235" t="s" s="8">
        <v>8</v>
      </c>
      <c r="I235" s="160">
        <v>450</v>
      </c>
      <c r="J235" t="s" s="8">
        <v>8</v>
      </c>
      <c r="K235" s="160">
        <v>450</v>
      </c>
      <c r="L235" t="s" s="8">
        <v>8</v>
      </c>
      <c r="M235" s="161"/>
      <c r="N235" t="s" s="8">
        <v>8</v>
      </c>
      <c r="O235" s="27"/>
      <c r="P235" t="s" s="8">
        <v>8</v>
      </c>
      <c r="Q235" s="27"/>
      <c r="R235" s="13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3.75" customHeight="1">
      <c r="A236" s="155"/>
      <c r="B236" t="s" s="87">
        <v>69</v>
      </c>
      <c r="C236" t="s" s="8">
        <v>9</v>
      </c>
      <c r="D236" s="25">
        <v>1000</v>
      </c>
      <c r="E236" s="9"/>
      <c r="F236" t="s" s="8">
        <v>10</v>
      </c>
      <c r="G236" t="s" s="33">
        <v>23</v>
      </c>
      <c r="H236" t="s" s="8">
        <v>10</v>
      </c>
      <c r="I236" t="s" s="33">
        <v>23</v>
      </c>
      <c r="J236" t="s" s="8">
        <v>10</v>
      </c>
      <c r="K236" t="s" s="33">
        <v>23</v>
      </c>
      <c r="L236" t="s" s="8">
        <v>10</v>
      </c>
      <c r="M236" s="162"/>
      <c r="N236" t="s" s="8">
        <v>10</v>
      </c>
      <c r="O236" s="34"/>
      <c r="P236" t="s" s="8">
        <v>10</v>
      </c>
      <c r="Q236" s="34"/>
      <c r="R236" s="13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3.75" customHeight="1">
      <c r="A237" s="155"/>
      <c r="B237" t="s" s="8">
        <v>296</v>
      </c>
      <c r="C237" s="72"/>
      <c r="D237" s="164"/>
      <c r="E237" t="s" s="8">
        <v>14</v>
      </c>
      <c r="F237" t="s" s="8">
        <v>6</v>
      </c>
      <c r="G237" s="18"/>
      <c r="H237" t="s" s="8">
        <v>6</v>
      </c>
      <c r="I237" s="18"/>
      <c r="J237" t="s" s="8">
        <v>6</v>
      </c>
      <c r="K237" s="42"/>
      <c r="L237" t="s" s="8">
        <v>6</v>
      </c>
      <c r="M237" s="18"/>
      <c r="N237" t="s" s="8">
        <v>6</v>
      </c>
      <c r="O237" s="18"/>
      <c r="P237" t="s" s="8">
        <v>6</v>
      </c>
      <c r="Q237" s="18"/>
      <c r="R237" s="13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3.55" customHeight="1">
      <c r="A238" s="155"/>
      <c r="B238" t="s" s="8">
        <v>297</v>
      </c>
      <c r="C238" s="13"/>
      <c r="D238" s="165"/>
      <c r="E238" s="9"/>
      <c r="F238" t="s" s="8">
        <v>8</v>
      </c>
      <c r="G238" s="27"/>
      <c r="H238" t="s" s="8">
        <v>8</v>
      </c>
      <c r="I238" s="27"/>
      <c r="J238" t="s" s="8">
        <v>8</v>
      </c>
      <c r="K238" s="42"/>
      <c r="L238" t="s" s="8">
        <v>8</v>
      </c>
      <c r="M238" s="27"/>
      <c r="N238" t="s" s="8">
        <v>8</v>
      </c>
      <c r="O238" s="27"/>
      <c r="P238" t="s" s="8">
        <v>8</v>
      </c>
      <c r="Q238" s="27"/>
      <c r="R238" s="13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3.55" customHeight="1">
      <c r="A239" s="155"/>
      <c r="B239" s="9"/>
      <c r="C239" s="13"/>
      <c r="D239" s="165"/>
      <c r="E239" s="9"/>
      <c r="F239" t="s" s="8">
        <v>10</v>
      </c>
      <c r="G239" s="34"/>
      <c r="H239" t="s" s="8">
        <v>10</v>
      </c>
      <c r="I239" s="34"/>
      <c r="J239" t="s" s="8">
        <v>10</v>
      </c>
      <c r="K239" s="42"/>
      <c r="L239" t="s" s="8">
        <v>10</v>
      </c>
      <c r="M239" s="34"/>
      <c r="N239" t="s" s="8">
        <v>10</v>
      </c>
      <c r="O239" s="34"/>
      <c r="P239" t="s" s="8">
        <v>10</v>
      </c>
      <c r="Q239" s="34"/>
      <c r="R239" s="13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3.55" customHeight="1">
      <c r="A240" s="112"/>
      <c r="B240" s="113"/>
      <c r="C240" s="111"/>
      <c r="D240" s="111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3.75" customHeight="1">
      <c r="A241" s="154">
        <v>35</v>
      </c>
      <c r="B241" t="s" s="130">
        <v>298</v>
      </c>
      <c r="C241" s="9"/>
      <c r="D241" s="9"/>
      <c r="E241" t="s" s="8">
        <v>5</v>
      </c>
      <c r="F241" t="s" s="8">
        <v>6</v>
      </c>
      <c r="G241" s="16">
        <v>1055</v>
      </c>
      <c r="H241" t="s" s="8">
        <v>6</v>
      </c>
      <c r="I241" s="158">
        <v>3238</v>
      </c>
      <c r="J241" t="s" s="8">
        <v>6</v>
      </c>
      <c r="K241" s="169"/>
      <c r="L241" t="s" s="8">
        <v>6</v>
      </c>
      <c r="M241" s="159"/>
      <c r="N241" t="s" s="8">
        <v>6</v>
      </c>
      <c r="O241" s="18"/>
      <c r="P241" t="s" s="8">
        <v>6</v>
      </c>
      <c r="Q241" s="18"/>
      <c r="R241" s="13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3.75" customHeight="1">
      <c r="A242" s="155"/>
      <c r="B242" s="170"/>
      <c r="C242" s="9"/>
      <c r="D242" s="42"/>
      <c r="E242" s="9"/>
      <c r="F242" t="s" s="8">
        <v>8</v>
      </c>
      <c r="G242" s="26">
        <v>900</v>
      </c>
      <c r="H242" t="s" s="8">
        <v>8</v>
      </c>
      <c r="I242" s="160">
        <v>900</v>
      </c>
      <c r="J242" t="s" s="8">
        <v>8</v>
      </c>
      <c r="K242" s="167"/>
      <c r="L242" t="s" s="8">
        <v>8</v>
      </c>
      <c r="M242" s="161"/>
      <c r="N242" t="s" s="8">
        <v>8</v>
      </c>
      <c r="O242" s="27"/>
      <c r="P242" t="s" s="8">
        <v>8</v>
      </c>
      <c r="Q242" s="27"/>
      <c r="R242" s="13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3.75" customHeight="1">
      <c r="A243" s="155"/>
      <c r="B243" s="23"/>
      <c r="C243" t="s" s="8">
        <v>9</v>
      </c>
      <c r="D243" s="25">
        <v>1000</v>
      </c>
      <c r="E243" s="9"/>
      <c r="F243" t="s" s="8">
        <v>10</v>
      </c>
      <c r="G243" t="s" s="33">
        <v>190</v>
      </c>
      <c r="H243" t="s" s="8">
        <v>10</v>
      </c>
      <c r="I243" t="s" s="171">
        <v>64</v>
      </c>
      <c r="J243" t="s" s="8">
        <v>10</v>
      </c>
      <c r="K243" s="169"/>
      <c r="L243" t="s" s="8">
        <v>10</v>
      </c>
      <c r="M243" s="162"/>
      <c r="N243" t="s" s="8">
        <v>10</v>
      </c>
      <c r="O243" s="34"/>
      <c r="P243" t="s" s="8">
        <v>10</v>
      </c>
      <c r="Q243" s="34"/>
      <c r="R243" s="13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3.75" customHeight="1">
      <c r="A244" s="155"/>
      <c r="B244" t="s" s="8">
        <v>299</v>
      </c>
      <c r="C244" s="72"/>
      <c r="D244" s="164"/>
      <c r="E244" t="s" s="8">
        <v>14</v>
      </c>
      <c r="F244" t="s" s="8">
        <v>6</v>
      </c>
      <c r="G244" s="16">
        <v>2005</v>
      </c>
      <c r="H244" t="s" s="8">
        <v>6</v>
      </c>
      <c r="I244" s="16">
        <v>2205</v>
      </c>
      <c r="J244" t="s" s="8">
        <v>6</v>
      </c>
      <c r="K244" s="42"/>
      <c r="L244" t="s" s="8">
        <v>6</v>
      </c>
      <c r="M244" s="18"/>
      <c r="N244" t="s" s="8">
        <v>6</v>
      </c>
      <c r="O244" s="18"/>
      <c r="P244" t="s" s="8">
        <v>6</v>
      </c>
      <c r="Q244" s="18"/>
      <c r="R244" s="13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3.55" customHeight="1">
      <c r="A245" s="155"/>
      <c r="B245" t="s" s="8">
        <v>300</v>
      </c>
      <c r="C245" s="13"/>
      <c r="D245" s="165"/>
      <c r="E245" s="9"/>
      <c r="F245" t="s" s="8">
        <v>8</v>
      </c>
      <c r="G245" s="26">
        <v>600</v>
      </c>
      <c r="H245" t="s" s="8">
        <v>8</v>
      </c>
      <c r="I245" s="26">
        <v>600</v>
      </c>
      <c r="J245" t="s" s="8">
        <v>8</v>
      </c>
      <c r="K245" s="42"/>
      <c r="L245" t="s" s="8">
        <v>8</v>
      </c>
      <c r="M245" s="27"/>
      <c r="N245" t="s" s="8">
        <v>8</v>
      </c>
      <c r="O245" s="27"/>
      <c r="P245" t="s" s="8">
        <v>8</v>
      </c>
      <c r="Q245" s="27"/>
      <c r="R245" s="13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3.55" customHeight="1">
      <c r="A246" s="155"/>
      <c r="B246" s="9"/>
      <c r="C246" s="13"/>
      <c r="D246" s="165"/>
      <c r="E246" s="9"/>
      <c r="F246" t="s" s="8">
        <v>10</v>
      </c>
      <c r="G246" t="s" s="33">
        <v>190</v>
      </c>
      <c r="H246" t="s" s="8">
        <v>10</v>
      </c>
      <c r="I246" t="s" s="33">
        <v>64</v>
      </c>
      <c r="J246" t="s" s="8">
        <v>10</v>
      </c>
      <c r="K246" s="42"/>
      <c r="L246" t="s" s="8">
        <v>10</v>
      </c>
      <c r="M246" s="34"/>
      <c r="N246" t="s" s="8">
        <v>10</v>
      </c>
      <c r="O246" s="34"/>
      <c r="P246" t="s" s="8">
        <v>10</v>
      </c>
      <c r="Q246" s="34"/>
      <c r="R246" s="13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3.55" customHeight="1">
      <c r="A247" s="112"/>
      <c r="B247" s="113"/>
      <c r="C247" s="111"/>
      <c r="D247" s="111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3.75" customHeight="1">
      <c r="A248" s="154">
        <v>35</v>
      </c>
      <c r="B248" t="s" s="130">
        <v>301</v>
      </c>
      <c r="C248" s="9"/>
      <c r="D248" s="9"/>
      <c r="E248" t="s" s="8">
        <v>5</v>
      </c>
      <c r="F248" t="s" s="8">
        <v>6</v>
      </c>
      <c r="G248" s="16">
        <v>1065</v>
      </c>
      <c r="H248" t="s" s="8">
        <v>6</v>
      </c>
      <c r="I248" s="16">
        <v>1065</v>
      </c>
      <c r="J248" t="s" s="8">
        <v>6</v>
      </c>
      <c r="K248" s="169"/>
      <c r="L248" t="s" s="8">
        <v>6</v>
      </c>
      <c r="M248" s="159"/>
      <c r="N248" t="s" s="8">
        <v>6</v>
      </c>
      <c r="O248" s="18"/>
      <c r="P248" t="s" s="8">
        <v>6</v>
      </c>
      <c r="Q248" s="18"/>
      <c r="R248" s="13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3.75" customHeight="1">
      <c r="A249" s="155"/>
      <c r="B249" t="s" s="124">
        <v>68</v>
      </c>
      <c r="C249" t="s" s="8">
        <v>7</v>
      </c>
      <c r="D249" s="25">
        <v>1000</v>
      </c>
      <c r="E249" s="9"/>
      <c r="F249" t="s" s="8">
        <v>8</v>
      </c>
      <c r="G249" s="26">
        <v>450</v>
      </c>
      <c r="H249" t="s" s="8">
        <v>8</v>
      </c>
      <c r="I249" s="26">
        <v>450</v>
      </c>
      <c r="J249" t="s" s="8">
        <v>8</v>
      </c>
      <c r="K249" s="167"/>
      <c r="L249" t="s" s="8">
        <v>8</v>
      </c>
      <c r="M249" s="161"/>
      <c r="N249" t="s" s="8">
        <v>8</v>
      </c>
      <c r="O249" s="27"/>
      <c r="P249" t="s" s="8">
        <v>8</v>
      </c>
      <c r="Q249" s="27"/>
      <c r="R249" s="13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3.75" customHeight="1">
      <c r="A250" s="155"/>
      <c r="B250" t="s" s="87">
        <v>69</v>
      </c>
      <c r="C250" t="s" s="8">
        <v>9</v>
      </c>
      <c r="D250" s="25">
        <v>1000</v>
      </c>
      <c r="E250" s="9"/>
      <c r="F250" t="s" s="8">
        <v>10</v>
      </c>
      <c r="G250" t="s" s="33">
        <v>159</v>
      </c>
      <c r="H250" t="s" s="8">
        <v>10</v>
      </c>
      <c r="I250" t="s" s="33">
        <v>159</v>
      </c>
      <c r="J250" t="s" s="8">
        <v>10</v>
      </c>
      <c r="K250" s="169"/>
      <c r="L250" t="s" s="8">
        <v>10</v>
      </c>
      <c r="M250" s="162"/>
      <c r="N250" t="s" s="8">
        <v>10</v>
      </c>
      <c r="O250" s="34"/>
      <c r="P250" t="s" s="8">
        <v>10</v>
      </c>
      <c r="Q250" s="34"/>
      <c r="R250" s="13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3.75" customHeight="1">
      <c r="A251" s="155"/>
      <c r="B251" t="s" s="8">
        <v>302</v>
      </c>
      <c r="C251" s="72"/>
      <c r="D251" s="164"/>
      <c r="E251" t="s" s="8">
        <v>14</v>
      </c>
      <c r="F251" t="s" s="8">
        <v>6</v>
      </c>
      <c r="G251" s="16">
        <v>2010</v>
      </c>
      <c r="H251" t="s" s="8">
        <v>6</v>
      </c>
      <c r="I251" s="158">
        <v>2161</v>
      </c>
      <c r="J251" t="s" s="8">
        <v>6</v>
      </c>
      <c r="K251" s="42"/>
      <c r="L251" t="s" s="8">
        <v>6</v>
      </c>
      <c r="M251" s="18"/>
      <c r="N251" t="s" s="8">
        <v>6</v>
      </c>
      <c r="O251" s="18"/>
      <c r="P251" t="s" s="8">
        <v>6</v>
      </c>
      <c r="Q251" s="18"/>
      <c r="R251" s="13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3.75" customHeight="1">
      <c r="A252" s="155"/>
      <c r="B252" t="s" s="8">
        <v>303</v>
      </c>
      <c r="C252" s="13"/>
      <c r="D252" s="165"/>
      <c r="E252" s="9"/>
      <c r="F252" t="s" s="8">
        <v>8</v>
      </c>
      <c r="G252" s="26">
        <v>600</v>
      </c>
      <c r="H252" t="s" s="8">
        <v>8</v>
      </c>
      <c r="I252" s="160">
        <v>600</v>
      </c>
      <c r="J252" t="s" s="8">
        <v>8</v>
      </c>
      <c r="K252" s="42"/>
      <c r="L252" t="s" s="8">
        <v>8</v>
      </c>
      <c r="M252" s="27"/>
      <c r="N252" t="s" s="8">
        <v>8</v>
      </c>
      <c r="O252" s="27"/>
      <c r="P252" t="s" s="8">
        <v>8</v>
      </c>
      <c r="Q252" s="27"/>
      <c r="R252" s="13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3.55" customHeight="1">
      <c r="A253" s="155"/>
      <c r="B253" s="9"/>
      <c r="C253" s="13"/>
      <c r="D253" s="165"/>
      <c r="E253" s="9"/>
      <c r="F253" t="s" s="8">
        <v>10</v>
      </c>
      <c r="G253" t="s" s="33">
        <v>159</v>
      </c>
      <c r="H253" t="s" s="8">
        <v>10</v>
      </c>
      <c r="I253" t="s" s="33">
        <v>24</v>
      </c>
      <c r="J253" t="s" s="8">
        <v>10</v>
      </c>
      <c r="K253" s="42"/>
      <c r="L253" t="s" s="8">
        <v>10</v>
      </c>
      <c r="M253" s="34"/>
      <c r="N253" t="s" s="8">
        <v>10</v>
      </c>
      <c r="O253" s="34"/>
      <c r="P253" t="s" s="8">
        <v>10</v>
      </c>
      <c r="Q253" s="34"/>
      <c r="R253" s="13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3.55" customHeight="1">
      <c r="A254" s="112"/>
      <c r="B254" s="113"/>
      <c r="C254" s="111"/>
      <c r="D254" s="111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3.75" customHeight="1">
      <c r="A255" s="154">
        <v>37</v>
      </c>
      <c r="B255" t="s" s="130">
        <v>304</v>
      </c>
      <c r="C255" s="9"/>
      <c r="D255" s="9"/>
      <c r="E255" t="s" s="8">
        <v>5</v>
      </c>
      <c r="F255" t="s" s="8">
        <v>6</v>
      </c>
      <c r="G255" s="158">
        <v>1248</v>
      </c>
      <c r="H255" t="s" s="8">
        <v>6</v>
      </c>
      <c r="I255" s="158">
        <v>1248</v>
      </c>
      <c r="J255" t="s" s="8">
        <v>6</v>
      </c>
      <c r="K255" s="169"/>
      <c r="L255" t="s" s="8">
        <v>6</v>
      </c>
      <c r="M255" s="159"/>
      <c r="N255" t="s" s="8">
        <v>6</v>
      </c>
      <c r="O255" s="18"/>
      <c r="P255" t="s" s="8">
        <v>6</v>
      </c>
      <c r="Q255" s="18"/>
      <c r="R255" s="13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3.75" customHeight="1">
      <c r="A256" s="155"/>
      <c r="B256" t="s" s="124">
        <v>68</v>
      </c>
      <c r="C256" t="s" s="8">
        <v>7</v>
      </c>
      <c r="D256" s="25">
        <v>1000</v>
      </c>
      <c r="E256" s="9"/>
      <c r="F256" t="s" s="8">
        <v>8</v>
      </c>
      <c r="G256" s="160">
        <v>900</v>
      </c>
      <c r="H256" t="s" s="8">
        <v>8</v>
      </c>
      <c r="I256" s="160">
        <v>900</v>
      </c>
      <c r="J256" t="s" s="8">
        <v>8</v>
      </c>
      <c r="K256" s="167"/>
      <c r="L256" t="s" s="8">
        <v>8</v>
      </c>
      <c r="M256" s="161"/>
      <c r="N256" t="s" s="8">
        <v>8</v>
      </c>
      <c r="O256" s="27"/>
      <c r="P256" t="s" s="8">
        <v>8</v>
      </c>
      <c r="Q256" s="27"/>
      <c r="R256" s="13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3.75" customHeight="1">
      <c r="A257" s="155"/>
      <c r="B257" s="23"/>
      <c r="C257" t="s" s="8">
        <v>9</v>
      </c>
      <c r="D257" s="25">
        <v>1000</v>
      </c>
      <c r="E257" s="9"/>
      <c r="F257" t="s" s="8">
        <v>10</v>
      </c>
      <c r="G257" t="s" s="33">
        <v>12</v>
      </c>
      <c r="H257" t="s" s="8">
        <v>10</v>
      </c>
      <c r="I257" t="s" s="33">
        <v>12</v>
      </c>
      <c r="J257" t="s" s="8">
        <v>10</v>
      </c>
      <c r="K257" s="169"/>
      <c r="L257" t="s" s="8">
        <v>10</v>
      </c>
      <c r="M257" s="162"/>
      <c r="N257" t="s" s="8">
        <v>10</v>
      </c>
      <c r="O257" s="34"/>
      <c r="P257" t="s" s="8">
        <v>10</v>
      </c>
      <c r="Q257" s="34"/>
      <c r="R257" s="13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3.75" customHeight="1">
      <c r="A258" s="155"/>
      <c r="B258" t="s" s="8">
        <v>305</v>
      </c>
      <c r="C258" s="72"/>
      <c r="D258" s="164"/>
      <c r="E258" t="s" s="8">
        <v>14</v>
      </c>
      <c r="F258" t="s" s="8">
        <v>6</v>
      </c>
      <c r="G258" s="16">
        <v>2034</v>
      </c>
      <c r="H258" t="s" s="8">
        <v>6</v>
      </c>
      <c r="I258" s="18"/>
      <c r="J258" t="s" s="8">
        <v>6</v>
      </c>
      <c r="K258" s="42"/>
      <c r="L258" t="s" s="8">
        <v>6</v>
      </c>
      <c r="M258" s="18"/>
      <c r="N258" t="s" s="8">
        <v>6</v>
      </c>
      <c r="O258" s="18"/>
      <c r="P258" t="s" s="8">
        <v>6</v>
      </c>
      <c r="Q258" s="18"/>
      <c r="R258" s="13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3.55" customHeight="1">
      <c r="A259" s="155"/>
      <c r="B259" t="s" s="8">
        <v>306</v>
      </c>
      <c r="C259" s="13"/>
      <c r="D259" s="165"/>
      <c r="E259" s="9"/>
      <c r="F259" t="s" s="8">
        <v>8</v>
      </c>
      <c r="G259" s="26">
        <v>600</v>
      </c>
      <c r="H259" t="s" s="8">
        <v>8</v>
      </c>
      <c r="I259" s="27"/>
      <c r="J259" t="s" s="8">
        <v>8</v>
      </c>
      <c r="K259" s="42"/>
      <c r="L259" t="s" s="8">
        <v>8</v>
      </c>
      <c r="M259" s="27"/>
      <c r="N259" t="s" s="8">
        <v>8</v>
      </c>
      <c r="O259" s="27"/>
      <c r="P259" t="s" s="8">
        <v>8</v>
      </c>
      <c r="Q259" s="27"/>
      <c r="R259" s="13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3.55" customHeight="1">
      <c r="A260" s="155"/>
      <c r="B260" s="9"/>
      <c r="C260" s="13"/>
      <c r="D260" s="165"/>
      <c r="E260" s="9"/>
      <c r="F260" t="s" s="8">
        <v>10</v>
      </c>
      <c r="G260" t="s" s="33">
        <v>23</v>
      </c>
      <c r="H260" t="s" s="8">
        <v>10</v>
      </c>
      <c r="I260" s="34"/>
      <c r="J260" t="s" s="8">
        <v>10</v>
      </c>
      <c r="K260" s="42"/>
      <c r="L260" t="s" s="8">
        <v>10</v>
      </c>
      <c r="M260" s="34"/>
      <c r="N260" t="s" s="8">
        <v>10</v>
      </c>
      <c r="O260" s="34"/>
      <c r="P260" t="s" s="8">
        <v>10</v>
      </c>
      <c r="Q260" s="34"/>
      <c r="R260" s="13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3.55" customHeight="1">
      <c r="A261" s="112"/>
      <c r="B261" s="113"/>
      <c r="C261" s="111"/>
      <c r="D261" s="111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3.75" customHeight="1">
      <c r="A262" s="154">
        <v>38</v>
      </c>
      <c r="B262" t="s" s="130">
        <v>307</v>
      </c>
      <c r="C262" s="9"/>
      <c r="D262" s="9"/>
      <c r="E262" t="s" s="8">
        <v>5</v>
      </c>
      <c r="F262" t="s" s="8">
        <v>6</v>
      </c>
      <c r="G262" s="158">
        <v>3191</v>
      </c>
      <c r="H262" t="s" s="8">
        <v>6</v>
      </c>
      <c r="I262" s="158">
        <v>3191</v>
      </c>
      <c r="J262" t="s" s="8">
        <v>6</v>
      </c>
      <c r="K262" s="169"/>
      <c r="L262" t="s" s="8">
        <v>6</v>
      </c>
      <c r="M262" s="159"/>
      <c r="N262" t="s" s="8">
        <v>6</v>
      </c>
      <c r="O262" s="18"/>
      <c r="P262" t="s" s="8">
        <v>6</v>
      </c>
      <c r="Q262" s="18"/>
      <c r="R262" s="13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3.75" customHeight="1">
      <c r="A263" s="155"/>
      <c r="B263" s="170"/>
      <c r="C263" s="9"/>
      <c r="D263" s="42"/>
      <c r="E263" s="9"/>
      <c r="F263" t="s" s="8">
        <v>8</v>
      </c>
      <c r="G263" s="160">
        <v>900</v>
      </c>
      <c r="H263" t="s" s="8">
        <v>8</v>
      </c>
      <c r="I263" s="160">
        <v>900</v>
      </c>
      <c r="J263" t="s" s="8">
        <v>8</v>
      </c>
      <c r="K263" s="167"/>
      <c r="L263" t="s" s="8">
        <v>8</v>
      </c>
      <c r="M263" s="161"/>
      <c r="N263" t="s" s="8">
        <v>8</v>
      </c>
      <c r="O263" s="27"/>
      <c r="P263" t="s" s="8">
        <v>8</v>
      </c>
      <c r="Q263" s="27"/>
      <c r="R263" s="13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3.75" customHeight="1">
      <c r="A264" s="155"/>
      <c r="B264" s="23"/>
      <c r="C264" t="s" s="8">
        <v>9</v>
      </c>
      <c r="D264" s="25">
        <v>1000</v>
      </c>
      <c r="E264" s="9"/>
      <c r="F264" t="s" s="8">
        <v>10</v>
      </c>
      <c r="G264" t="s" s="33">
        <v>24</v>
      </c>
      <c r="H264" t="s" s="8">
        <v>10</v>
      </c>
      <c r="I264" t="s" s="33">
        <v>24</v>
      </c>
      <c r="J264" t="s" s="8">
        <v>10</v>
      </c>
      <c r="K264" s="169"/>
      <c r="L264" t="s" s="8">
        <v>10</v>
      </c>
      <c r="M264" s="162"/>
      <c r="N264" t="s" s="8">
        <v>10</v>
      </c>
      <c r="O264" s="34"/>
      <c r="P264" t="s" s="8">
        <v>10</v>
      </c>
      <c r="Q264" s="34"/>
      <c r="R264" s="13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3.75" customHeight="1">
      <c r="A265" s="155"/>
      <c r="B265" t="s" s="8">
        <v>308</v>
      </c>
      <c r="C265" s="72"/>
      <c r="D265" s="164"/>
      <c r="E265" t="s" s="8">
        <v>14</v>
      </c>
      <c r="F265" t="s" s="8">
        <v>6</v>
      </c>
      <c r="G265" s="18"/>
      <c r="H265" t="s" s="8">
        <v>6</v>
      </c>
      <c r="I265" s="18"/>
      <c r="J265" t="s" s="8">
        <v>6</v>
      </c>
      <c r="K265" s="42"/>
      <c r="L265" t="s" s="8">
        <v>6</v>
      </c>
      <c r="M265" s="18"/>
      <c r="N265" t="s" s="8">
        <v>6</v>
      </c>
      <c r="O265" s="18"/>
      <c r="P265" t="s" s="8">
        <v>6</v>
      </c>
      <c r="Q265" s="18"/>
      <c r="R265" s="13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3.55" customHeight="1">
      <c r="A266" s="155"/>
      <c r="B266" t="s" s="8">
        <v>309</v>
      </c>
      <c r="C266" s="13"/>
      <c r="D266" s="165"/>
      <c r="E266" s="9"/>
      <c r="F266" t="s" s="8">
        <v>8</v>
      </c>
      <c r="G266" s="27"/>
      <c r="H266" t="s" s="8">
        <v>8</v>
      </c>
      <c r="I266" s="27"/>
      <c r="J266" t="s" s="8">
        <v>8</v>
      </c>
      <c r="K266" s="42"/>
      <c r="L266" t="s" s="8">
        <v>8</v>
      </c>
      <c r="M266" s="27"/>
      <c r="N266" t="s" s="8">
        <v>8</v>
      </c>
      <c r="O266" s="27"/>
      <c r="P266" t="s" s="8">
        <v>8</v>
      </c>
      <c r="Q266" s="27"/>
      <c r="R266" s="13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3.55" customHeight="1">
      <c r="A267" s="155"/>
      <c r="B267" s="9"/>
      <c r="C267" s="13"/>
      <c r="D267" s="165"/>
      <c r="E267" s="9"/>
      <c r="F267" t="s" s="8">
        <v>10</v>
      </c>
      <c r="G267" s="34"/>
      <c r="H267" t="s" s="8">
        <v>10</v>
      </c>
      <c r="I267" s="34"/>
      <c r="J267" t="s" s="8">
        <v>10</v>
      </c>
      <c r="K267" s="42"/>
      <c r="L267" t="s" s="8">
        <v>10</v>
      </c>
      <c r="M267" s="34"/>
      <c r="N267" t="s" s="8">
        <v>10</v>
      </c>
      <c r="O267" s="34"/>
      <c r="P267" t="s" s="8">
        <v>10</v>
      </c>
      <c r="Q267" s="34"/>
      <c r="R267" s="13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</sheetData>
  <mergeCells count="63">
    <mergeCell ref="A1:K1"/>
    <mergeCell ref="F2:G2"/>
    <mergeCell ref="H2:I2"/>
    <mergeCell ref="J2:K2"/>
    <mergeCell ref="L2:M2"/>
    <mergeCell ref="M41:M43"/>
    <mergeCell ref="AB2:AC2"/>
    <mergeCell ref="A10:A15"/>
    <mergeCell ref="A17:A22"/>
    <mergeCell ref="P2:Q2"/>
    <mergeCell ref="R2:S2"/>
    <mergeCell ref="T2:U2"/>
    <mergeCell ref="V2:W2"/>
    <mergeCell ref="X2:Y2"/>
    <mergeCell ref="Z2:AA2"/>
    <mergeCell ref="N2:O2"/>
    <mergeCell ref="A73:A78"/>
    <mergeCell ref="A24:A29"/>
    <mergeCell ref="A31:A36"/>
    <mergeCell ref="A38:A43"/>
    <mergeCell ref="A45:A50"/>
    <mergeCell ref="A52:A57"/>
    <mergeCell ref="A59:A64"/>
    <mergeCell ref="A66:A71"/>
    <mergeCell ref="A122:A127"/>
    <mergeCell ref="K125:K127"/>
    <mergeCell ref="A80:A85"/>
    <mergeCell ref="A87:A92"/>
    <mergeCell ref="A94:A99"/>
    <mergeCell ref="K97:K99"/>
    <mergeCell ref="A101:A106"/>
    <mergeCell ref="K104:K106"/>
    <mergeCell ref="A108:A113"/>
    <mergeCell ref="A115:A120"/>
    <mergeCell ref="K118:K120"/>
    <mergeCell ref="W153:W155"/>
    <mergeCell ref="A157:A162"/>
    <mergeCell ref="A129:A134"/>
    <mergeCell ref="K132:K134"/>
    <mergeCell ref="A136:A141"/>
    <mergeCell ref="K139:K141"/>
    <mergeCell ref="A143:A148"/>
    <mergeCell ref="K146:K148"/>
    <mergeCell ref="O153:O155"/>
    <mergeCell ref="A150:A155"/>
    <mergeCell ref="G153:G155"/>
    <mergeCell ref="M153:M155"/>
    <mergeCell ref="A262:A267"/>
    <mergeCell ref="A241:A246"/>
    <mergeCell ref="A248:A253"/>
    <mergeCell ref="A255:A260"/>
    <mergeCell ref="A164:A169"/>
    <mergeCell ref="A171:A176"/>
    <mergeCell ref="A178:A183"/>
    <mergeCell ref="A185:A190"/>
    <mergeCell ref="A234:A239"/>
    <mergeCell ref="A199:A204"/>
    <mergeCell ref="A192:A197"/>
    <mergeCell ref="A206:A211"/>
    <mergeCell ref="A213:A218"/>
    <mergeCell ref="A220:A225"/>
    <mergeCell ref="A227:A232"/>
    <mergeCell ref="A3:A8"/>
  </mergeCells>
  <pageMargins left="0.1" right="0.1" top="0.3" bottom="0.3" header="0.3" footer="0.3"/>
  <pageSetup firstPageNumber="1" fitToHeight="1" fitToWidth="1" scale="55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F374"/>
  <sheetViews>
    <sheetView workbookViewId="0" showGridLines="0" defaultGridColor="1"/>
  </sheetViews>
  <sheetFormatPr defaultColWidth="9.16667" defaultRowHeight="15" customHeight="1" outlineLevelRow="0" outlineLevelCol="0"/>
  <cols>
    <col min="1" max="1" width="6.67188" style="172" customWidth="1"/>
    <col min="2" max="2" width="17.1719" style="172" customWidth="1"/>
    <col min="3" max="3" width="10.5" style="172" customWidth="1"/>
    <col min="4" max="4" width="8.17188" style="172" customWidth="1"/>
    <col min="5" max="5" width="9.35156" style="172" customWidth="1"/>
    <col min="6" max="6" width="5.35156" style="172" customWidth="1"/>
    <col min="7" max="7" width="9.67188" style="172" customWidth="1"/>
    <col min="8" max="8" width="5.5" style="172" customWidth="1"/>
    <col min="9" max="9" width="9" style="172" customWidth="1"/>
    <col min="10" max="10" width="5.5" style="172" customWidth="1"/>
    <col min="11" max="11" width="9.5" style="172" customWidth="1"/>
    <col min="12" max="12" width="5.85156" style="172" customWidth="1"/>
    <col min="13" max="13" width="8.67188" style="172" customWidth="1"/>
    <col min="14" max="14" width="7.17188" style="172" customWidth="1"/>
    <col min="15" max="15" width="7.85156" style="172" customWidth="1"/>
    <col min="16" max="16" width="6" style="172" customWidth="1"/>
    <col min="17" max="17" width="8.85156" style="172" customWidth="1"/>
    <col min="18" max="18" width="6" style="172" customWidth="1"/>
    <col min="19" max="19" width="8.35156" style="172" customWidth="1"/>
    <col min="20" max="20" width="5.85156" style="172" customWidth="1"/>
    <col min="21" max="21" width="8.85156" style="172" customWidth="1"/>
    <col min="22" max="22" width="5.5" style="172" customWidth="1"/>
    <col min="23" max="23" width="7.5" style="172" customWidth="1"/>
    <col min="24" max="24" width="5.67188" style="172" customWidth="1"/>
    <col min="25" max="29" width="7.67188" style="172" customWidth="1"/>
    <col min="30" max="30" width="13.5" style="172" customWidth="1"/>
    <col min="31" max="31" width="14.1719" style="172" customWidth="1"/>
    <col min="32" max="32" width="9.17188" style="172" customWidth="1"/>
    <col min="33" max="16384" width="9.17188" style="172" customWidth="1"/>
  </cols>
  <sheetData>
    <row r="1" ht="23.25" customHeight="1">
      <c r="A1" t="s" s="173">
        <v>310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6"/>
      <c r="AE1" s="177"/>
      <c r="AF1" s="7"/>
    </row>
    <row r="2" ht="13.55" customHeight="1">
      <c r="A2" t="s" s="178">
        <v>1</v>
      </c>
      <c r="B2" t="s" s="15">
        <v>2</v>
      </c>
      <c r="C2" s="23"/>
      <c r="D2" s="23"/>
      <c r="E2" s="23"/>
      <c r="F2" s="23"/>
      <c r="G2" s="179">
        <v>46113</v>
      </c>
      <c r="H2" s="131"/>
      <c r="I2" s="179">
        <v>46143</v>
      </c>
      <c r="J2" s="131"/>
      <c r="K2" s="179">
        <v>46174</v>
      </c>
      <c r="L2" s="131"/>
      <c r="M2" s="179">
        <v>46204</v>
      </c>
      <c r="N2" s="131"/>
      <c r="O2" s="179">
        <v>46235</v>
      </c>
      <c r="P2" s="131"/>
      <c r="Q2" s="179">
        <v>46266</v>
      </c>
      <c r="R2" s="131"/>
      <c r="S2" s="179">
        <v>46296</v>
      </c>
      <c r="T2" s="23"/>
      <c r="U2" s="179">
        <v>46327</v>
      </c>
      <c r="V2" s="23"/>
      <c r="W2" s="179">
        <v>46357</v>
      </c>
      <c r="X2" s="23"/>
      <c r="Y2" s="179">
        <v>46388</v>
      </c>
      <c r="Z2" s="23"/>
      <c r="AA2" s="179">
        <v>46419</v>
      </c>
      <c r="AB2" s="23"/>
      <c r="AC2" s="179">
        <v>46447</v>
      </c>
      <c r="AD2" t="s" s="130">
        <v>3</v>
      </c>
      <c r="AE2" s="13"/>
      <c r="AF2" s="7"/>
    </row>
    <row r="3" ht="13.75" customHeight="1">
      <c r="A3" t="s" s="178">
        <v>311</v>
      </c>
      <c r="B3" t="s" s="130">
        <v>312</v>
      </c>
      <c r="C3" s="23"/>
      <c r="D3" s="23"/>
      <c r="E3" t="s" s="15">
        <v>5</v>
      </c>
      <c r="F3" t="s" s="15">
        <v>6</v>
      </c>
      <c r="G3" s="16">
        <v>1094</v>
      </c>
      <c r="H3" t="s" s="15">
        <v>6</v>
      </c>
      <c r="I3" s="16">
        <v>3237</v>
      </c>
      <c r="J3" t="s" s="15">
        <v>6</v>
      </c>
      <c r="K3" s="18"/>
      <c r="L3" t="s" s="15">
        <v>6</v>
      </c>
      <c r="M3" s="131"/>
      <c r="N3" t="s" s="15">
        <v>6</v>
      </c>
      <c r="O3" s="131"/>
      <c r="P3" t="s" s="15">
        <v>6</v>
      </c>
      <c r="Q3" s="131"/>
      <c r="R3" t="s" s="15">
        <v>6</v>
      </c>
      <c r="S3" s="131"/>
      <c r="T3" t="s" s="15">
        <v>6</v>
      </c>
      <c r="U3" s="131"/>
      <c r="V3" t="s" s="15">
        <v>6</v>
      </c>
      <c r="W3" s="131"/>
      <c r="X3" t="s" s="15">
        <v>6</v>
      </c>
      <c r="Y3" s="131"/>
      <c r="Z3" t="s" s="15">
        <v>6</v>
      </c>
      <c r="AA3" s="131"/>
      <c r="AB3" t="s" s="15">
        <v>6</v>
      </c>
      <c r="AC3" s="131"/>
      <c r="AD3" s="180"/>
      <c r="AE3" s="177"/>
      <c r="AF3" s="7"/>
    </row>
    <row r="4" ht="13.55" customHeight="1">
      <c r="A4" s="181"/>
      <c r="B4" s="23"/>
      <c r="C4" s="27"/>
      <c r="D4" s="27"/>
      <c r="E4" s="23"/>
      <c r="F4" t="s" s="15">
        <v>8</v>
      </c>
      <c r="G4" s="26">
        <v>500</v>
      </c>
      <c r="H4" t="s" s="15">
        <v>8</v>
      </c>
      <c r="I4" s="26">
        <v>500</v>
      </c>
      <c r="J4" t="s" s="15">
        <v>8</v>
      </c>
      <c r="K4" s="27"/>
      <c r="L4" t="s" s="15">
        <v>8</v>
      </c>
      <c r="M4" s="27"/>
      <c r="N4" t="s" s="15">
        <v>8</v>
      </c>
      <c r="O4" s="27"/>
      <c r="P4" t="s" s="15">
        <v>8</v>
      </c>
      <c r="Q4" s="27"/>
      <c r="R4" t="s" s="15">
        <v>8</v>
      </c>
      <c r="S4" s="27"/>
      <c r="T4" t="s" s="15">
        <v>8</v>
      </c>
      <c r="U4" s="27"/>
      <c r="V4" t="s" s="15">
        <v>8</v>
      </c>
      <c r="W4" s="27"/>
      <c r="X4" t="s" s="15">
        <v>8</v>
      </c>
      <c r="Y4" s="27"/>
      <c r="Z4" t="s" s="15">
        <v>8</v>
      </c>
      <c r="AA4" s="27"/>
      <c r="AB4" t="s" s="15">
        <v>8</v>
      </c>
      <c r="AC4" s="27"/>
      <c r="AD4" s="182" cm="1">
        <f t="array" ref="AD4">G4+I4+K4+M4+O4+Q4+S4+U4+W4+Y4+AA4+AC4</f>
        <v>1000</v>
      </c>
      <c r="AE4" s="183" cm="1">
        <f t="array" ref="AE4">450*12</f>
        <v>5400</v>
      </c>
      <c r="AF4" s="51" cm="1">
        <f t="array" ref="AF4">AE4-AD4</f>
        <v>4400</v>
      </c>
    </row>
    <row r="5" ht="13.55" customHeight="1">
      <c r="A5" s="184"/>
      <c r="B5" t="s" s="144">
        <v>60</v>
      </c>
      <c r="C5" t="s" s="8">
        <v>9</v>
      </c>
      <c r="D5" s="26">
        <v>1000</v>
      </c>
      <c r="E5" s="185"/>
      <c r="F5" t="s" s="15">
        <v>10</v>
      </c>
      <c r="G5" t="s" s="33">
        <v>23</v>
      </c>
      <c r="H5" t="s" s="15">
        <v>10</v>
      </c>
      <c r="I5" t="s" s="33">
        <v>64</v>
      </c>
      <c r="J5" t="s" s="15">
        <v>10</v>
      </c>
      <c r="K5" s="34"/>
      <c r="L5" t="s" s="15">
        <v>10</v>
      </c>
      <c r="M5" s="34"/>
      <c r="N5" t="s" s="15">
        <v>10</v>
      </c>
      <c r="O5" s="34"/>
      <c r="P5" t="s" s="15">
        <v>10</v>
      </c>
      <c r="Q5" s="34"/>
      <c r="R5" t="s" s="15">
        <v>10</v>
      </c>
      <c r="S5" s="34"/>
      <c r="T5" t="s" s="15">
        <v>10</v>
      </c>
      <c r="U5" s="34"/>
      <c r="V5" t="s" s="15">
        <v>10</v>
      </c>
      <c r="W5" s="34"/>
      <c r="X5" t="s" s="15">
        <v>10</v>
      </c>
      <c r="Y5" s="34"/>
      <c r="Z5" t="s" s="15">
        <v>10</v>
      </c>
      <c r="AA5" s="34"/>
      <c r="AB5" t="s" s="15">
        <v>10</v>
      </c>
      <c r="AC5" s="34"/>
      <c r="AD5" s="180"/>
      <c r="AE5" s="177"/>
      <c r="AF5" s="7"/>
    </row>
    <row r="6" ht="13.75" customHeight="1">
      <c r="A6" s="184"/>
      <c r="B6" t="s" s="15">
        <v>313</v>
      </c>
      <c r="C6" s="23"/>
      <c r="D6" s="23"/>
      <c r="E6" t="s" s="15">
        <v>14</v>
      </c>
      <c r="F6" t="s" s="15">
        <v>6</v>
      </c>
      <c r="G6" s="16">
        <v>2030</v>
      </c>
      <c r="H6" t="s" s="15">
        <v>6</v>
      </c>
      <c r="I6" s="16">
        <v>2204</v>
      </c>
      <c r="J6" t="s" s="15">
        <v>6</v>
      </c>
      <c r="K6" s="40"/>
      <c r="L6" t="s" s="15">
        <v>6</v>
      </c>
      <c r="M6" s="18"/>
      <c r="N6" t="s" s="15">
        <v>6</v>
      </c>
      <c r="O6" s="131"/>
      <c r="P6" t="s" s="15">
        <v>6</v>
      </c>
      <c r="Q6" s="131"/>
      <c r="R6" t="s" s="15">
        <v>6</v>
      </c>
      <c r="S6" s="131"/>
      <c r="T6" t="s" s="15">
        <v>6</v>
      </c>
      <c r="U6" s="131"/>
      <c r="V6" t="s" s="15">
        <v>6</v>
      </c>
      <c r="W6" s="131"/>
      <c r="X6" t="s" s="15">
        <v>6</v>
      </c>
      <c r="Y6" s="131"/>
      <c r="Z6" t="s" s="15">
        <v>6</v>
      </c>
      <c r="AA6" s="131"/>
      <c r="AB6" t="s" s="15">
        <v>6</v>
      </c>
      <c r="AC6" s="131"/>
      <c r="AD6" s="180"/>
      <c r="AE6" s="177"/>
      <c r="AF6" s="7"/>
    </row>
    <row r="7" ht="13.55" customHeight="1">
      <c r="A7" s="184"/>
      <c r="B7" t="s" s="15">
        <v>314</v>
      </c>
      <c r="C7" s="23"/>
      <c r="D7" s="23"/>
      <c r="E7" s="23"/>
      <c r="F7" t="s" s="15">
        <v>8</v>
      </c>
      <c r="G7" s="25">
        <v>600</v>
      </c>
      <c r="H7" t="s" s="15">
        <v>8</v>
      </c>
      <c r="I7" s="25">
        <v>600</v>
      </c>
      <c r="J7" t="s" s="15">
        <v>8</v>
      </c>
      <c r="K7" s="41"/>
      <c r="L7" t="s" s="15">
        <v>8</v>
      </c>
      <c r="M7" s="42"/>
      <c r="N7" t="s" s="15">
        <v>8</v>
      </c>
      <c r="O7" s="27"/>
      <c r="P7" t="s" s="15">
        <v>8</v>
      </c>
      <c r="Q7" s="27"/>
      <c r="R7" t="s" s="15">
        <v>8</v>
      </c>
      <c r="S7" s="27"/>
      <c r="T7" t="s" s="15">
        <v>8</v>
      </c>
      <c r="U7" s="27"/>
      <c r="V7" t="s" s="15">
        <v>8</v>
      </c>
      <c r="W7" s="27"/>
      <c r="X7" t="s" s="15">
        <v>8</v>
      </c>
      <c r="Y7" s="27"/>
      <c r="Z7" t="s" s="15">
        <v>8</v>
      </c>
      <c r="AA7" s="27"/>
      <c r="AB7" t="s" s="15">
        <v>8</v>
      </c>
      <c r="AC7" s="27"/>
      <c r="AD7" s="180" cm="1">
        <f t="array" ref="AD7">G7+I7+K7+M7+O7+Q7+S7+U7+W7+Y7+AA7+AC7</f>
      </c>
      <c r="AE7" s="183" cm="1">
        <f t="array" ref="AE7">500*11</f>
        <v>5500</v>
      </c>
      <c r="AF7" s="7" cm="1">
        <f t="array" ref="AF7">AE7-AD7</f>
      </c>
    </row>
    <row r="8" ht="13.55" customHeight="1">
      <c r="A8" s="186"/>
      <c r="B8" s="23"/>
      <c r="C8" s="23"/>
      <c r="D8" s="23"/>
      <c r="E8" s="23"/>
      <c r="F8" t="s" s="15">
        <v>10</v>
      </c>
      <c r="G8" t="s" s="163">
        <v>23</v>
      </c>
      <c r="H8" t="s" s="15">
        <v>10</v>
      </c>
      <c r="I8" t="s" s="163">
        <v>64</v>
      </c>
      <c r="J8" t="s" s="15">
        <v>10</v>
      </c>
      <c r="K8" s="45"/>
      <c r="L8" t="s" s="15">
        <v>10</v>
      </c>
      <c r="M8" s="46"/>
      <c r="N8" t="s" s="15">
        <v>10</v>
      </c>
      <c r="O8" s="34"/>
      <c r="P8" t="s" s="15">
        <v>10</v>
      </c>
      <c r="Q8" s="34"/>
      <c r="R8" t="s" s="15">
        <v>10</v>
      </c>
      <c r="S8" s="34"/>
      <c r="T8" t="s" s="15">
        <v>10</v>
      </c>
      <c r="U8" s="34"/>
      <c r="V8" t="s" s="15">
        <v>10</v>
      </c>
      <c r="W8" s="34"/>
      <c r="X8" t="s" s="15">
        <v>10</v>
      </c>
      <c r="Y8" s="34"/>
      <c r="Z8" t="s" s="15">
        <v>10</v>
      </c>
      <c r="AA8" s="34"/>
      <c r="AB8" t="s" s="15">
        <v>10</v>
      </c>
      <c r="AC8" s="34"/>
      <c r="AD8" s="180"/>
      <c r="AE8" s="177"/>
      <c r="AF8" s="7"/>
    </row>
    <row r="9" ht="13.55" customHeight="1">
      <c r="A9" s="187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180"/>
      <c r="AE9" s="177"/>
      <c r="AF9" s="7"/>
    </row>
    <row r="10" ht="13.75" customHeight="1">
      <c r="A10" s="188">
        <v>2</v>
      </c>
      <c r="B10" t="s" s="130">
        <v>315</v>
      </c>
      <c r="C10" s="23"/>
      <c r="D10" s="23"/>
      <c r="E10" t="s" s="15">
        <v>5</v>
      </c>
      <c r="F10" t="s" s="15">
        <v>6</v>
      </c>
      <c r="G10" s="16">
        <v>1135</v>
      </c>
      <c r="H10" t="s" s="15">
        <v>6</v>
      </c>
      <c r="I10" s="16">
        <v>1135</v>
      </c>
      <c r="J10" t="s" s="15">
        <v>6</v>
      </c>
      <c r="K10" s="16">
        <v>1135</v>
      </c>
      <c r="L10" t="s" s="15">
        <v>6</v>
      </c>
      <c r="M10" s="18"/>
      <c r="N10" t="s" s="15">
        <v>6</v>
      </c>
      <c r="O10" s="18"/>
      <c r="P10" t="s" s="15">
        <v>6</v>
      </c>
      <c r="Q10" s="18"/>
      <c r="R10" t="s" s="15">
        <v>6</v>
      </c>
      <c r="S10" s="18"/>
      <c r="T10" t="s" s="15">
        <v>6</v>
      </c>
      <c r="U10" s="18"/>
      <c r="V10" t="s" s="15">
        <v>6</v>
      </c>
      <c r="W10" s="18"/>
      <c r="X10" t="s" s="15">
        <v>6</v>
      </c>
      <c r="Y10" s="18"/>
      <c r="Z10" t="s" s="15">
        <v>6</v>
      </c>
      <c r="AA10" s="18"/>
      <c r="AB10" t="s" s="15">
        <v>6</v>
      </c>
      <c r="AC10" s="18"/>
      <c r="AD10" s="180"/>
      <c r="AE10" s="177"/>
      <c r="AF10" s="7"/>
    </row>
    <row r="11" ht="13.55" customHeight="1">
      <c r="A11" s="189"/>
      <c r="B11" s="27"/>
      <c r="C11" s="27"/>
      <c r="D11" s="27"/>
      <c r="E11" s="23"/>
      <c r="F11" t="s" s="15">
        <v>8</v>
      </c>
      <c r="G11" s="26">
        <v>1000</v>
      </c>
      <c r="H11" t="s" s="15">
        <v>8</v>
      </c>
      <c r="I11" s="26">
        <v>1000</v>
      </c>
      <c r="J11" t="s" s="15">
        <v>8</v>
      </c>
      <c r="K11" s="26">
        <v>1000</v>
      </c>
      <c r="L11" t="s" s="15">
        <v>8</v>
      </c>
      <c r="M11" s="27"/>
      <c r="N11" t="s" s="15">
        <v>8</v>
      </c>
      <c r="O11" s="27"/>
      <c r="P11" t="s" s="15">
        <v>8</v>
      </c>
      <c r="Q11" s="27"/>
      <c r="R11" t="s" s="15">
        <v>8</v>
      </c>
      <c r="S11" s="27"/>
      <c r="T11" t="s" s="15">
        <v>8</v>
      </c>
      <c r="U11" s="27"/>
      <c r="V11" t="s" s="15">
        <v>8</v>
      </c>
      <c r="W11" s="27"/>
      <c r="X11" t="s" s="15">
        <v>8</v>
      </c>
      <c r="Y11" s="27"/>
      <c r="Z11" t="s" s="15">
        <v>8</v>
      </c>
      <c r="AA11" s="27"/>
      <c r="AB11" t="s" s="15">
        <v>8</v>
      </c>
      <c r="AC11" s="27"/>
      <c r="AD11" s="182" cm="1">
        <f t="array" ref="AD11">G11+I11+K11+M11+O11+Q11+S11+U11+W11+Y11+AA11+AC11</f>
        <v>3000</v>
      </c>
      <c r="AE11" s="183" cm="1">
        <f t="array" ref="AE11">900*12</f>
        <v>10800</v>
      </c>
      <c r="AF11" s="51" cm="1">
        <f t="array" ref="AF11">AE11-AD11</f>
        <v>7800</v>
      </c>
    </row>
    <row r="12" ht="13.55" customHeight="1">
      <c r="A12" s="189"/>
      <c r="B12" s="27"/>
      <c r="C12" t="s" s="8">
        <v>9</v>
      </c>
      <c r="D12" s="26">
        <v>1000</v>
      </c>
      <c r="E12" s="46"/>
      <c r="F12" t="s" s="15">
        <v>10</v>
      </c>
      <c r="G12" t="s" s="33">
        <v>31</v>
      </c>
      <c r="H12" t="s" s="15">
        <v>10</v>
      </c>
      <c r="I12" t="s" s="33">
        <v>31</v>
      </c>
      <c r="J12" t="s" s="15">
        <v>10</v>
      </c>
      <c r="K12" t="s" s="33">
        <v>31</v>
      </c>
      <c r="L12" t="s" s="15">
        <v>10</v>
      </c>
      <c r="M12" s="34"/>
      <c r="N12" t="s" s="15">
        <v>10</v>
      </c>
      <c r="O12" s="34"/>
      <c r="P12" t="s" s="15">
        <v>10</v>
      </c>
      <c r="Q12" s="34"/>
      <c r="R12" t="s" s="15">
        <v>10</v>
      </c>
      <c r="S12" s="34"/>
      <c r="T12" t="s" s="15">
        <v>10</v>
      </c>
      <c r="U12" s="34"/>
      <c r="V12" t="s" s="15">
        <v>10</v>
      </c>
      <c r="W12" s="34"/>
      <c r="X12" t="s" s="15">
        <v>10</v>
      </c>
      <c r="Y12" s="34"/>
      <c r="Z12" t="s" s="15">
        <v>10</v>
      </c>
      <c r="AA12" s="34"/>
      <c r="AB12" t="s" s="15">
        <v>10</v>
      </c>
      <c r="AC12" s="34"/>
      <c r="AD12" s="180"/>
      <c r="AE12" s="177"/>
      <c r="AF12" s="7"/>
    </row>
    <row r="13" ht="13.75" customHeight="1">
      <c r="A13" s="189"/>
      <c r="B13" t="s" s="15">
        <v>316</v>
      </c>
      <c r="C13" s="23"/>
      <c r="D13" s="23"/>
      <c r="E13" t="s" s="15">
        <v>14</v>
      </c>
      <c r="F13" t="s" s="15">
        <v>6</v>
      </c>
      <c r="G13" s="16">
        <v>2058</v>
      </c>
      <c r="H13" t="s" s="15">
        <v>6</v>
      </c>
      <c r="I13" s="16">
        <v>2058</v>
      </c>
      <c r="J13" t="s" s="15">
        <v>6</v>
      </c>
      <c r="K13" s="40"/>
      <c r="L13" t="s" s="15">
        <v>6</v>
      </c>
      <c r="M13" s="18"/>
      <c r="N13" t="s" s="15">
        <v>6</v>
      </c>
      <c r="O13" s="18"/>
      <c r="P13" t="s" s="15">
        <v>6</v>
      </c>
      <c r="Q13" s="18"/>
      <c r="R13" t="s" s="15">
        <v>6</v>
      </c>
      <c r="S13" s="18"/>
      <c r="T13" t="s" s="15">
        <v>6</v>
      </c>
      <c r="U13" s="18"/>
      <c r="V13" t="s" s="15">
        <v>6</v>
      </c>
      <c r="W13" s="18"/>
      <c r="X13" t="s" s="15">
        <v>6</v>
      </c>
      <c r="Y13" s="18"/>
      <c r="Z13" t="s" s="15">
        <v>6</v>
      </c>
      <c r="AA13" s="18"/>
      <c r="AB13" t="s" s="15">
        <v>6</v>
      </c>
      <c r="AC13" s="18"/>
      <c r="AD13" s="180"/>
      <c r="AE13" s="177"/>
      <c r="AF13" s="7"/>
    </row>
    <row r="14" ht="13.55" customHeight="1">
      <c r="A14" s="189"/>
      <c r="B14" t="s" s="15">
        <v>317</v>
      </c>
      <c r="C14" s="23"/>
      <c r="D14" s="23"/>
      <c r="E14" s="23"/>
      <c r="F14" t="s" s="15">
        <v>8</v>
      </c>
      <c r="G14" s="26">
        <v>600</v>
      </c>
      <c r="H14" t="s" s="15">
        <v>8</v>
      </c>
      <c r="I14" s="26">
        <v>600</v>
      </c>
      <c r="J14" t="s" s="15">
        <v>8</v>
      </c>
      <c r="K14" s="41"/>
      <c r="L14" t="s" s="15">
        <v>8</v>
      </c>
      <c r="M14" s="27"/>
      <c r="N14" t="s" s="15">
        <v>8</v>
      </c>
      <c r="O14" s="27"/>
      <c r="P14" t="s" s="15">
        <v>8</v>
      </c>
      <c r="Q14" s="27"/>
      <c r="R14" t="s" s="15">
        <v>8</v>
      </c>
      <c r="S14" s="27"/>
      <c r="T14" t="s" s="15">
        <v>8</v>
      </c>
      <c r="U14" s="27"/>
      <c r="V14" t="s" s="15">
        <v>8</v>
      </c>
      <c r="W14" s="27"/>
      <c r="X14" t="s" s="15">
        <v>8</v>
      </c>
      <c r="Y14" s="27"/>
      <c r="Z14" t="s" s="15">
        <v>8</v>
      </c>
      <c r="AA14" s="27"/>
      <c r="AB14" t="s" s="15">
        <v>8</v>
      </c>
      <c r="AC14" s="27"/>
      <c r="AD14" s="180" cm="1">
        <f t="array" ref="AD14">G14+I14+K14+M14+O14+Q14+S14+U14+W14+Y14+AA14+AC14</f>
      </c>
      <c r="AE14" s="183" cm="1">
        <f t="array" ref="AE14">500*11</f>
        <v>5500</v>
      </c>
      <c r="AF14" s="7" cm="1">
        <f t="array" ref="AF14">AE14-AD14</f>
      </c>
    </row>
    <row r="15" ht="13.55" customHeight="1">
      <c r="A15" s="190"/>
      <c r="B15" s="23"/>
      <c r="C15" s="23"/>
      <c r="D15" s="23"/>
      <c r="E15" s="23"/>
      <c r="F15" t="s" s="15">
        <v>10</v>
      </c>
      <c r="G15" t="s" s="33">
        <v>31</v>
      </c>
      <c r="H15" t="s" s="15">
        <v>10</v>
      </c>
      <c r="I15" t="s" s="33">
        <v>31</v>
      </c>
      <c r="J15" t="s" s="15">
        <v>10</v>
      </c>
      <c r="K15" s="45"/>
      <c r="L15" t="s" s="15">
        <v>10</v>
      </c>
      <c r="M15" s="34"/>
      <c r="N15" t="s" s="15">
        <v>10</v>
      </c>
      <c r="O15" s="34"/>
      <c r="P15" t="s" s="15">
        <v>10</v>
      </c>
      <c r="Q15" s="34"/>
      <c r="R15" t="s" s="15">
        <v>10</v>
      </c>
      <c r="S15" s="34"/>
      <c r="T15" t="s" s="15">
        <v>10</v>
      </c>
      <c r="U15" s="34"/>
      <c r="V15" t="s" s="15">
        <v>10</v>
      </c>
      <c r="W15" s="34"/>
      <c r="X15" t="s" s="15">
        <v>10</v>
      </c>
      <c r="Y15" s="34"/>
      <c r="Z15" t="s" s="15">
        <v>10</v>
      </c>
      <c r="AA15" s="34"/>
      <c r="AB15" t="s" s="15">
        <v>10</v>
      </c>
      <c r="AC15" s="34"/>
      <c r="AD15" s="180"/>
      <c r="AE15" s="177"/>
      <c r="AF15" s="7"/>
    </row>
    <row r="16" ht="13.55" customHeight="1">
      <c r="A16" s="18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180"/>
      <c r="AE16" s="177"/>
      <c r="AF16" s="7"/>
    </row>
    <row r="17" ht="13.75" customHeight="1">
      <c r="A17" s="188">
        <v>3</v>
      </c>
      <c r="B17" t="s" s="130">
        <v>318</v>
      </c>
      <c r="C17" s="23"/>
      <c r="D17" s="23"/>
      <c r="E17" t="s" s="15">
        <v>5</v>
      </c>
      <c r="F17" t="s" s="15">
        <v>6</v>
      </c>
      <c r="G17" s="16">
        <v>1136</v>
      </c>
      <c r="H17" t="s" s="15">
        <v>6</v>
      </c>
      <c r="I17" s="16">
        <v>3254</v>
      </c>
      <c r="J17" t="s" s="15">
        <v>6</v>
      </c>
      <c r="K17" s="18"/>
      <c r="L17" t="s" s="15">
        <v>6</v>
      </c>
      <c r="M17" s="18"/>
      <c r="N17" t="s" s="15">
        <v>6</v>
      </c>
      <c r="O17" s="18"/>
      <c r="P17" t="s" s="15">
        <v>6</v>
      </c>
      <c r="Q17" s="18"/>
      <c r="R17" t="s" s="15">
        <v>6</v>
      </c>
      <c r="S17" s="18"/>
      <c r="T17" t="s" s="15">
        <v>6</v>
      </c>
      <c r="U17" s="18"/>
      <c r="V17" t="s" s="15">
        <v>6</v>
      </c>
      <c r="W17" s="18"/>
      <c r="X17" t="s" s="15">
        <v>6</v>
      </c>
      <c r="Y17" s="18"/>
      <c r="Z17" t="s" s="15">
        <v>6</v>
      </c>
      <c r="AA17" s="18"/>
      <c r="AB17" t="s" s="15">
        <v>6</v>
      </c>
      <c r="AC17" s="18"/>
      <c r="AD17" s="180"/>
      <c r="AE17" s="177"/>
      <c r="AF17" s="7"/>
    </row>
    <row r="18" ht="13.55" customHeight="1">
      <c r="A18" s="189"/>
      <c r="B18" s="27"/>
      <c r="C18" s="27"/>
      <c r="D18" s="27"/>
      <c r="E18" s="23"/>
      <c r="F18" t="s" s="15">
        <v>8</v>
      </c>
      <c r="G18" s="26">
        <v>1000</v>
      </c>
      <c r="H18" t="s" s="15">
        <v>8</v>
      </c>
      <c r="I18" s="26">
        <v>1000</v>
      </c>
      <c r="J18" t="s" s="15">
        <v>8</v>
      </c>
      <c r="K18" s="27"/>
      <c r="L18" t="s" s="15">
        <v>8</v>
      </c>
      <c r="M18" s="27"/>
      <c r="N18" t="s" s="15">
        <v>8</v>
      </c>
      <c r="O18" s="27"/>
      <c r="P18" t="s" s="15">
        <v>8</v>
      </c>
      <c r="Q18" s="27"/>
      <c r="R18" t="s" s="15">
        <v>8</v>
      </c>
      <c r="S18" s="27"/>
      <c r="T18" t="s" s="15">
        <v>8</v>
      </c>
      <c r="U18" s="27"/>
      <c r="V18" t="s" s="15">
        <v>8</v>
      </c>
      <c r="W18" s="27"/>
      <c r="X18" t="s" s="15">
        <v>8</v>
      </c>
      <c r="Y18" s="27"/>
      <c r="Z18" t="s" s="15">
        <v>8</v>
      </c>
      <c r="AA18" s="27"/>
      <c r="AB18" t="s" s="15">
        <v>8</v>
      </c>
      <c r="AC18" s="27"/>
      <c r="AD18" s="182" cm="1">
        <f t="array" ref="AD18">G18+I18+K18+M18+O18+Q18+S18+U18+W18+Y18+AA18+AC18</f>
        <v>2000</v>
      </c>
      <c r="AE18" s="183" cm="1">
        <f t="array" ref="AE18">900*12</f>
        <v>10800</v>
      </c>
      <c r="AF18" s="51" cm="1">
        <f t="array" ref="AF18">AE18-AD18</f>
        <v>8800</v>
      </c>
    </row>
    <row r="19" ht="13.55" customHeight="1">
      <c r="A19" s="189"/>
      <c r="B19" s="27"/>
      <c r="C19" t="s" s="8">
        <v>9</v>
      </c>
      <c r="D19" s="26">
        <v>1000</v>
      </c>
      <c r="E19" s="23"/>
      <c r="F19" t="s" s="15">
        <v>10</v>
      </c>
      <c r="G19" t="s" s="163">
        <v>31</v>
      </c>
      <c r="H19" t="s" s="15">
        <v>10</v>
      </c>
      <c r="I19" t="s" s="163">
        <v>319</v>
      </c>
      <c r="J19" t="s" s="15">
        <v>10</v>
      </c>
      <c r="K19" s="46"/>
      <c r="L19" t="s" s="15">
        <v>10</v>
      </c>
      <c r="M19" s="46"/>
      <c r="N19" t="s" s="15">
        <v>10</v>
      </c>
      <c r="O19" s="46"/>
      <c r="P19" t="s" s="15">
        <v>10</v>
      </c>
      <c r="Q19" s="46"/>
      <c r="R19" t="s" s="15">
        <v>10</v>
      </c>
      <c r="S19" s="46"/>
      <c r="T19" t="s" s="15">
        <v>10</v>
      </c>
      <c r="U19" s="46"/>
      <c r="V19" t="s" s="15">
        <v>10</v>
      </c>
      <c r="W19" s="46"/>
      <c r="X19" t="s" s="15">
        <v>10</v>
      </c>
      <c r="Y19" s="46"/>
      <c r="Z19" t="s" s="15">
        <v>10</v>
      </c>
      <c r="AA19" s="46"/>
      <c r="AB19" t="s" s="15">
        <v>10</v>
      </c>
      <c r="AC19" s="46"/>
      <c r="AD19" s="180"/>
      <c r="AE19" s="177"/>
      <c r="AF19" s="7"/>
    </row>
    <row r="20" ht="13.75" customHeight="1">
      <c r="A20" s="189"/>
      <c r="B20" t="s" s="15">
        <v>320</v>
      </c>
      <c r="C20" s="23"/>
      <c r="D20" s="23"/>
      <c r="E20" t="s" s="15">
        <v>14</v>
      </c>
      <c r="F20" t="s" s="15">
        <v>6</v>
      </c>
      <c r="G20" s="16">
        <v>2059</v>
      </c>
      <c r="H20" t="s" s="15">
        <v>6</v>
      </c>
      <c r="I20" s="16">
        <v>2219</v>
      </c>
      <c r="J20" t="s" s="15">
        <v>6</v>
      </c>
      <c r="K20" s="40"/>
      <c r="L20" t="s" s="15">
        <v>6</v>
      </c>
      <c r="M20" s="18"/>
      <c r="N20" t="s" s="15">
        <v>6</v>
      </c>
      <c r="O20" s="18"/>
      <c r="P20" t="s" s="15">
        <v>6</v>
      </c>
      <c r="Q20" s="18"/>
      <c r="R20" t="s" s="15">
        <v>6</v>
      </c>
      <c r="S20" s="18"/>
      <c r="T20" t="s" s="15">
        <v>6</v>
      </c>
      <c r="U20" s="18"/>
      <c r="V20" t="s" s="15">
        <v>6</v>
      </c>
      <c r="W20" s="18"/>
      <c r="X20" t="s" s="15">
        <v>6</v>
      </c>
      <c r="Y20" s="18"/>
      <c r="Z20" t="s" s="15">
        <v>6</v>
      </c>
      <c r="AA20" s="18"/>
      <c r="AB20" t="s" s="15">
        <v>6</v>
      </c>
      <c r="AC20" s="18"/>
      <c r="AD20" s="180"/>
      <c r="AE20" s="177"/>
      <c r="AF20" s="7"/>
    </row>
    <row r="21" ht="13.55" customHeight="1">
      <c r="A21" s="189"/>
      <c r="B21" t="s" s="15">
        <v>321</v>
      </c>
      <c r="C21" s="23"/>
      <c r="D21" s="23"/>
      <c r="E21" s="23"/>
      <c r="F21" t="s" s="15">
        <v>8</v>
      </c>
      <c r="G21" s="26">
        <v>600</v>
      </c>
      <c r="H21" t="s" s="15">
        <v>8</v>
      </c>
      <c r="I21" s="26">
        <v>600</v>
      </c>
      <c r="J21" t="s" s="15">
        <v>8</v>
      </c>
      <c r="K21" s="41"/>
      <c r="L21" t="s" s="15">
        <v>8</v>
      </c>
      <c r="M21" s="27"/>
      <c r="N21" t="s" s="15">
        <v>8</v>
      </c>
      <c r="O21" s="27"/>
      <c r="P21" t="s" s="15">
        <v>8</v>
      </c>
      <c r="Q21" s="27"/>
      <c r="R21" t="s" s="15">
        <v>8</v>
      </c>
      <c r="S21" s="27"/>
      <c r="T21" t="s" s="15">
        <v>8</v>
      </c>
      <c r="U21" s="27"/>
      <c r="V21" t="s" s="15">
        <v>8</v>
      </c>
      <c r="W21" s="27"/>
      <c r="X21" t="s" s="15">
        <v>8</v>
      </c>
      <c r="Y21" s="27"/>
      <c r="Z21" t="s" s="15">
        <v>8</v>
      </c>
      <c r="AA21" s="27"/>
      <c r="AB21" t="s" s="15">
        <v>8</v>
      </c>
      <c r="AC21" s="27"/>
      <c r="AD21" s="180" cm="1">
        <f t="array" ref="AD21">G21+I21+K21+M21+O21+Q21+S21+U21+W21+Y21+AA21+AC21</f>
      </c>
      <c r="AE21" s="183" cm="1">
        <f t="array" ref="AE21">500*11</f>
        <v>5500</v>
      </c>
      <c r="AF21" s="7" cm="1">
        <f t="array" ref="AF21">AE21-AD21</f>
      </c>
    </row>
    <row r="22" ht="13.55" customHeight="1">
      <c r="A22" s="190"/>
      <c r="B22" s="23"/>
      <c r="C22" s="23"/>
      <c r="D22" s="23"/>
      <c r="E22" s="23"/>
      <c r="F22" t="s" s="15">
        <v>10</v>
      </c>
      <c r="G22" t="s" s="163">
        <v>31</v>
      </c>
      <c r="H22" t="s" s="15">
        <v>10</v>
      </c>
      <c r="I22" t="s" s="163">
        <v>319</v>
      </c>
      <c r="J22" t="s" s="15">
        <v>10</v>
      </c>
      <c r="K22" s="45"/>
      <c r="L22" t="s" s="15">
        <v>10</v>
      </c>
      <c r="M22" s="46"/>
      <c r="N22" t="s" s="15">
        <v>10</v>
      </c>
      <c r="O22" s="46"/>
      <c r="P22" t="s" s="15">
        <v>10</v>
      </c>
      <c r="Q22" s="46"/>
      <c r="R22" t="s" s="15">
        <v>10</v>
      </c>
      <c r="S22" s="46"/>
      <c r="T22" t="s" s="15">
        <v>10</v>
      </c>
      <c r="U22" s="46"/>
      <c r="V22" t="s" s="15">
        <v>10</v>
      </c>
      <c r="W22" s="46"/>
      <c r="X22" t="s" s="15">
        <v>10</v>
      </c>
      <c r="Y22" s="46"/>
      <c r="Z22" t="s" s="15">
        <v>10</v>
      </c>
      <c r="AA22" s="46"/>
      <c r="AB22" t="s" s="15">
        <v>10</v>
      </c>
      <c r="AC22" s="46"/>
      <c r="AD22" s="180"/>
      <c r="AE22" s="177"/>
      <c r="AF22" s="7"/>
    </row>
    <row r="23" ht="13.55" customHeight="1">
      <c r="A23" s="18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180"/>
      <c r="AE23" s="177"/>
      <c r="AF23" s="7"/>
    </row>
    <row r="24" ht="13.75" customHeight="1">
      <c r="A24" s="188">
        <v>4</v>
      </c>
      <c r="B24" t="s" s="130">
        <v>322</v>
      </c>
      <c r="C24" s="23"/>
      <c r="D24" s="23"/>
      <c r="E24" t="s" s="15">
        <v>5</v>
      </c>
      <c r="F24" t="s" s="15">
        <v>6</v>
      </c>
      <c r="G24" s="16">
        <v>1095</v>
      </c>
      <c r="H24" t="s" s="15">
        <v>6</v>
      </c>
      <c r="I24" s="16">
        <v>1246</v>
      </c>
      <c r="J24" t="s" s="15">
        <v>6</v>
      </c>
      <c r="K24" s="18"/>
      <c r="L24" t="s" s="15">
        <v>6</v>
      </c>
      <c r="M24" s="18"/>
      <c r="N24" t="s" s="15">
        <v>6</v>
      </c>
      <c r="O24" s="18"/>
      <c r="P24" t="s" s="15">
        <v>6</v>
      </c>
      <c r="Q24" s="18"/>
      <c r="R24" t="s" s="15">
        <v>6</v>
      </c>
      <c r="S24" s="18"/>
      <c r="T24" t="s" s="15">
        <v>6</v>
      </c>
      <c r="U24" s="18"/>
      <c r="V24" t="s" s="15">
        <v>6</v>
      </c>
      <c r="W24" s="18"/>
      <c r="X24" t="s" s="15">
        <v>6</v>
      </c>
      <c r="Y24" s="18"/>
      <c r="Z24" t="s" s="15">
        <v>6</v>
      </c>
      <c r="AA24" s="18"/>
      <c r="AB24" t="s" s="15">
        <v>6</v>
      </c>
      <c r="AC24" s="18"/>
      <c r="AD24" s="180"/>
      <c r="AE24" s="177"/>
      <c r="AF24" s="7"/>
    </row>
    <row r="25" ht="13.55" customHeight="1">
      <c r="A25" s="189"/>
      <c r="B25" s="27"/>
      <c r="C25" s="27"/>
      <c r="D25" s="131"/>
      <c r="E25" s="23"/>
      <c r="F25" t="s" s="15">
        <v>8</v>
      </c>
      <c r="G25" s="26">
        <v>1000</v>
      </c>
      <c r="H25" t="s" s="15">
        <v>8</v>
      </c>
      <c r="I25" s="26">
        <v>1000</v>
      </c>
      <c r="J25" t="s" s="15">
        <v>8</v>
      </c>
      <c r="K25" s="27"/>
      <c r="L25" t="s" s="15">
        <v>8</v>
      </c>
      <c r="M25" s="27"/>
      <c r="N25" t="s" s="15">
        <v>8</v>
      </c>
      <c r="O25" s="27"/>
      <c r="P25" t="s" s="15">
        <v>8</v>
      </c>
      <c r="Q25" s="27"/>
      <c r="R25" t="s" s="15">
        <v>8</v>
      </c>
      <c r="S25" s="27"/>
      <c r="T25" t="s" s="15">
        <v>8</v>
      </c>
      <c r="U25" s="27"/>
      <c r="V25" t="s" s="15">
        <v>8</v>
      </c>
      <c r="W25" s="27"/>
      <c r="X25" t="s" s="15">
        <v>8</v>
      </c>
      <c r="Y25" s="27"/>
      <c r="Z25" t="s" s="15">
        <v>8</v>
      </c>
      <c r="AA25" s="27"/>
      <c r="AB25" t="s" s="15">
        <v>8</v>
      </c>
      <c r="AC25" s="27"/>
      <c r="AD25" s="182" cm="1">
        <f t="array" ref="AD25">G25+I25+K25+M25+O25+Q25+S25+U25+W25+Y25+AA25+AC25</f>
        <v>2000</v>
      </c>
      <c r="AE25" s="183" cm="1">
        <f t="array" ref="AE25">900*12</f>
        <v>10800</v>
      </c>
      <c r="AF25" s="51" cm="1">
        <f t="array" ref="AF25">AE25-AD25</f>
        <v>8800</v>
      </c>
    </row>
    <row r="26" ht="13.55" customHeight="1">
      <c r="A26" s="189"/>
      <c r="B26" s="27"/>
      <c r="C26" t="s" s="8">
        <v>9</v>
      </c>
      <c r="D26" s="26">
        <v>1000</v>
      </c>
      <c r="E26" s="185"/>
      <c r="F26" t="s" s="15">
        <v>10</v>
      </c>
      <c r="G26" t="s" s="33">
        <v>23</v>
      </c>
      <c r="H26" t="s" s="15">
        <v>10</v>
      </c>
      <c r="I26" t="s" s="33">
        <v>323</v>
      </c>
      <c r="J26" t="s" s="15">
        <v>10</v>
      </c>
      <c r="K26" s="34"/>
      <c r="L26" t="s" s="15">
        <v>10</v>
      </c>
      <c r="M26" s="34"/>
      <c r="N26" t="s" s="15">
        <v>10</v>
      </c>
      <c r="O26" s="34"/>
      <c r="P26" t="s" s="15">
        <v>10</v>
      </c>
      <c r="Q26" s="34"/>
      <c r="R26" t="s" s="15">
        <v>10</v>
      </c>
      <c r="S26" s="34"/>
      <c r="T26" t="s" s="15">
        <v>10</v>
      </c>
      <c r="U26" s="34"/>
      <c r="V26" t="s" s="15">
        <v>10</v>
      </c>
      <c r="W26" s="34"/>
      <c r="X26" t="s" s="15">
        <v>10</v>
      </c>
      <c r="Y26" s="34"/>
      <c r="Z26" t="s" s="15">
        <v>10</v>
      </c>
      <c r="AA26" s="34"/>
      <c r="AB26" t="s" s="15">
        <v>10</v>
      </c>
      <c r="AC26" s="34"/>
      <c r="AD26" s="180"/>
      <c r="AE26" s="177"/>
      <c r="AF26" s="7"/>
    </row>
    <row r="27" ht="13.75" customHeight="1">
      <c r="A27" s="189"/>
      <c r="B27" t="s" s="15">
        <v>324</v>
      </c>
      <c r="C27" s="23"/>
      <c r="D27" s="23"/>
      <c r="E27" t="s" s="15">
        <v>14</v>
      </c>
      <c r="F27" t="s" s="15">
        <v>6</v>
      </c>
      <c r="G27" s="16">
        <v>2031</v>
      </c>
      <c r="H27" t="s" s="15">
        <v>6</v>
      </c>
      <c r="I27" s="16">
        <v>2031</v>
      </c>
      <c r="J27" t="s" s="15">
        <v>6</v>
      </c>
      <c r="K27" s="40"/>
      <c r="L27" t="s" s="15">
        <v>6</v>
      </c>
      <c r="M27" s="18"/>
      <c r="N27" t="s" s="15">
        <v>6</v>
      </c>
      <c r="O27" s="18"/>
      <c r="P27" t="s" s="15">
        <v>6</v>
      </c>
      <c r="Q27" s="18"/>
      <c r="R27" t="s" s="15">
        <v>6</v>
      </c>
      <c r="S27" s="18"/>
      <c r="T27" t="s" s="15">
        <v>6</v>
      </c>
      <c r="U27" s="18"/>
      <c r="V27" t="s" s="15">
        <v>6</v>
      </c>
      <c r="W27" s="18"/>
      <c r="X27" t="s" s="15">
        <v>6</v>
      </c>
      <c r="Y27" s="18"/>
      <c r="Z27" t="s" s="15">
        <v>6</v>
      </c>
      <c r="AA27" s="18"/>
      <c r="AB27" t="s" s="15">
        <v>6</v>
      </c>
      <c r="AC27" s="18"/>
      <c r="AD27" s="180"/>
      <c r="AE27" s="177"/>
      <c r="AF27" s="7"/>
    </row>
    <row r="28" ht="13.55" customHeight="1">
      <c r="A28" s="189"/>
      <c r="B28" t="s" s="15">
        <v>325</v>
      </c>
      <c r="C28" s="23"/>
      <c r="D28" s="23"/>
      <c r="E28" s="23"/>
      <c r="F28" t="s" s="15">
        <v>8</v>
      </c>
      <c r="G28" s="25">
        <v>600</v>
      </c>
      <c r="H28" t="s" s="15">
        <v>8</v>
      </c>
      <c r="I28" s="25">
        <v>600</v>
      </c>
      <c r="J28" t="s" s="15">
        <v>8</v>
      </c>
      <c r="K28" s="41"/>
      <c r="L28" t="s" s="15">
        <v>8</v>
      </c>
      <c r="M28" s="42"/>
      <c r="N28" t="s" s="15">
        <v>8</v>
      </c>
      <c r="O28" s="42"/>
      <c r="P28" t="s" s="15">
        <v>8</v>
      </c>
      <c r="Q28" s="42"/>
      <c r="R28" t="s" s="15">
        <v>8</v>
      </c>
      <c r="S28" s="27"/>
      <c r="T28" t="s" s="15">
        <v>8</v>
      </c>
      <c r="U28" s="27"/>
      <c r="V28" t="s" s="15">
        <v>8</v>
      </c>
      <c r="W28" s="27"/>
      <c r="X28" t="s" s="15">
        <v>8</v>
      </c>
      <c r="Y28" s="27"/>
      <c r="Z28" t="s" s="15">
        <v>8</v>
      </c>
      <c r="AA28" s="27"/>
      <c r="AB28" t="s" s="15">
        <v>8</v>
      </c>
      <c r="AC28" s="27"/>
      <c r="AD28" s="180" cm="1">
        <f t="array" ref="AD28">G28+I28+K28+M28+O28+Q28+S28+U28+W28+Y28+AA28+AC28</f>
      </c>
      <c r="AE28" s="183" cm="1">
        <f t="array" ref="AE28">500*11</f>
        <v>5500</v>
      </c>
      <c r="AF28" s="7" cm="1">
        <f t="array" ref="AF28">AE28-AD28</f>
      </c>
    </row>
    <row r="29" ht="13.55" customHeight="1">
      <c r="A29" s="190"/>
      <c r="B29" s="23"/>
      <c r="C29" s="23"/>
      <c r="D29" s="23"/>
      <c r="E29" s="23"/>
      <c r="F29" t="s" s="15">
        <v>10</v>
      </c>
      <c r="G29" t="s" s="163">
        <v>23</v>
      </c>
      <c r="H29" t="s" s="15">
        <v>10</v>
      </c>
      <c r="I29" t="s" s="163">
        <v>23</v>
      </c>
      <c r="J29" t="s" s="15">
        <v>10</v>
      </c>
      <c r="K29" s="45"/>
      <c r="L29" t="s" s="15">
        <v>10</v>
      </c>
      <c r="M29" s="46"/>
      <c r="N29" t="s" s="15">
        <v>10</v>
      </c>
      <c r="O29" s="46"/>
      <c r="P29" t="s" s="15">
        <v>10</v>
      </c>
      <c r="Q29" s="46"/>
      <c r="R29" t="s" s="15">
        <v>10</v>
      </c>
      <c r="S29" s="34"/>
      <c r="T29" t="s" s="15">
        <v>10</v>
      </c>
      <c r="U29" s="34"/>
      <c r="V29" t="s" s="15">
        <v>10</v>
      </c>
      <c r="W29" s="34"/>
      <c r="X29" t="s" s="15">
        <v>10</v>
      </c>
      <c r="Y29" s="34"/>
      <c r="Z29" t="s" s="15">
        <v>10</v>
      </c>
      <c r="AA29" s="34"/>
      <c r="AB29" t="s" s="15">
        <v>10</v>
      </c>
      <c r="AC29" s="34"/>
      <c r="AD29" s="180"/>
      <c r="AE29" s="177"/>
      <c r="AF29" s="7"/>
    </row>
    <row r="30" ht="13.55" customHeight="1">
      <c r="A30" s="18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180"/>
      <c r="AE30" s="177"/>
      <c r="AF30" s="7"/>
    </row>
    <row r="31" ht="13.75" customHeight="1">
      <c r="A31" s="188">
        <v>5</v>
      </c>
      <c r="B31" t="s" s="130">
        <v>326</v>
      </c>
      <c r="C31" s="23"/>
      <c r="D31" s="23"/>
      <c r="E31" t="s" s="15">
        <v>5</v>
      </c>
      <c r="F31" t="s" s="15">
        <v>6</v>
      </c>
      <c r="G31" s="16">
        <v>3152</v>
      </c>
      <c r="H31" t="s" s="15">
        <v>6</v>
      </c>
      <c r="I31" s="16">
        <v>3174</v>
      </c>
      <c r="J31" t="s" s="15">
        <v>6</v>
      </c>
      <c r="K31" s="18"/>
      <c r="L31" t="s" s="15">
        <v>6</v>
      </c>
      <c r="M31" s="18"/>
      <c r="N31" t="s" s="15">
        <v>6</v>
      </c>
      <c r="O31" s="18"/>
      <c r="P31" t="s" s="15">
        <v>6</v>
      </c>
      <c r="Q31" s="18"/>
      <c r="R31" t="s" s="15">
        <v>6</v>
      </c>
      <c r="S31" s="18"/>
      <c r="T31" t="s" s="15">
        <v>6</v>
      </c>
      <c r="U31" s="18"/>
      <c r="V31" t="s" s="15">
        <v>6</v>
      </c>
      <c r="W31" s="18"/>
      <c r="X31" t="s" s="15">
        <v>6</v>
      </c>
      <c r="Y31" s="18"/>
      <c r="Z31" t="s" s="15">
        <v>6</v>
      </c>
      <c r="AA31" s="18"/>
      <c r="AB31" t="s" s="15">
        <v>6</v>
      </c>
      <c r="AC31" s="18"/>
      <c r="AD31" s="180"/>
      <c r="AE31" s="177"/>
      <c r="AF31" s="7"/>
    </row>
    <row r="32" ht="13.55" customHeight="1">
      <c r="A32" s="189"/>
      <c r="B32" s="27"/>
      <c r="C32" s="27"/>
      <c r="D32" s="27"/>
      <c r="E32" s="23"/>
      <c r="F32" t="s" s="15">
        <v>8</v>
      </c>
      <c r="G32" s="26">
        <v>1000</v>
      </c>
      <c r="H32" t="s" s="15">
        <v>8</v>
      </c>
      <c r="I32" s="26">
        <v>1000</v>
      </c>
      <c r="J32" t="s" s="15">
        <v>8</v>
      </c>
      <c r="K32" s="27"/>
      <c r="L32" t="s" s="15">
        <v>8</v>
      </c>
      <c r="M32" s="27"/>
      <c r="N32" t="s" s="15">
        <v>8</v>
      </c>
      <c r="O32" s="27"/>
      <c r="P32" t="s" s="15">
        <v>8</v>
      </c>
      <c r="Q32" s="27"/>
      <c r="R32" t="s" s="15">
        <v>8</v>
      </c>
      <c r="S32" s="27"/>
      <c r="T32" t="s" s="15">
        <v>8</v>
      </c>
      <c r="U32" s="27"/>
      <c r="V32" t="s" s="15">
        <v>8</v>
      </c>
      <c r="W32" s="27"/>
      <c r="X32" t="s" s="15">
        <v>8</v>
      </c>
      <c r="Y32" s="27"/>
      <c r="Z32" t="s" s="15">
        <v>8</v>
      </c>
      <c r="AA32" s="27"/>
      <c r="AB32" t="s" s="15">
        <v>8</v>
      </c>
      <c r="AC32" s="27"/>
      <c r="AD32" s="182" cm="1">
        <f t="array" ref="AD32">G32+I32+K32+M32+O32+Q32+S32+U32+W32+Y32+AA32+AC32</f>
        <v>2000</v>
      </c>
      <c r="AE32" s="183" cm="1">
        <f t="array" ref="AE32">900*12</f>
        <v>10800</v>
      </c>
      <c r="AF32" s="51" cm="1">
        <f t="array" ref="AF32">AE32-AD32</f>
        <v>8800</v>
      </c>
    </row>
    <row r="33" ht="13.55" customHeight="1">
      <c r="A33" s="189"/>
      <c r="B33" s="27"/>
      <c r="C33" t="s" s="8">
        <v>9</v>
      </c>
      <c r="D33" s="26">
        <v>1000</v>
      </c>
      <c r="E33" s="23"/>
      <c r="F33" t="s" s="15">
        <v>10</v>
      </c>
      <c r="G33" t="s" s="33">
        <v>327</v>
      </c>
      <c r="H33" t="s" s="15">
        <v>10</v>
      </c>
      <c r="I33" t="s" s="33">
        <v>24</v>
      </c>
      <c r="J33" t="s" s="15">
        <v>10</v>
      </c>
      <c r="K33" s="34"/>
      <c r="L33" t="s" s="15">
        <v>10</v>
      </c>
      <c r="M33" s="34"/>
      <c r="N33" t="s" s="15">
        <v>10</v>
      </c>
      <c r="O33" s="34"/>
      <c r="P33" t="s" s="15">
        <v>10</v>
      </c>
      <c r="Q33" s="34"/>
      <c r="R33" t="s" s="15">
        <v>10</v>
      </c>
      <c r="S33" s="34"/>
      <c r="T33" t="s" s="15">
        <v>10</v>
      </c>
      <c r="U33" s="34"/>
      <c r="V33" t="s" s="15">
        <v>10</v>
      </c>
      <c r="W33" s="34"/>
      <c r="X33" t="s" s="15">
        <v>10</v>
      </c>
      <c r="Y33" s="34"/>
      <c r="Z33" t="s" s="15">
        <v>10</v>
      </c>
      <c r="AA33" s="34"/>
      <c r="AB33" t="s" s="15">
        <v>10</v>
      </c>
      <c r="AC33" s="34"/>
      <c r="AD33" s="180"/>
      <c r="AE33" s="177"/>
      <c r="AF33" s="7"/>
    </row>
    <row r="34" ht="13.55" customHeight="1">
      <c r="A34" s="189"/>
      <c r="B34" t="s" s="15">
        <v>328</v>
      </c>
      <c r="C34" s="23"/>
      <c r="D34" s="23"/>
      <c r="E34" t="s" s="15">
        <v>14</v>
      </c>
      <c r="F34" t="s" s="15">
        <v>6</v>
      </c>
      <c r="G34" s="23"/>
      <c r="H34" t="s" s="15">
        <v>6</v>
      </c>
      <c r="I34" s="23"/>
      <c r="J34" t="s" s="15">
        <v>6</v>
      </c>
      <c r="K34" s="40"/>
      <c r="L34" t="s" s="15">
        <v>6</v>
      </c>
      <c r="M34" s="23"/>
      <c r="N34" t="s" s="15">
        <v>6</v>
      </c>
      <c r="O34" s="23"/>
      <c r="P34" t="s" s="15">
        <v>6</v>
      </c>
      <c r="Q34" s="23"/>
      <c r="R34" t="s" s="15">
        <v>6</v>
      </c>
      <c r="S34" s="23"/>
      <c r="T34" t="s" s="15">
        <v>6</v>
      </c>
      <c r="U34" s="23"/>
      <c r="V34" t="s" s="15">
        <v>6</v>
      </c>
      <c r="W34" s="23"/>
      <c r="X34" t="s" s="15">
        <v>6</v>
      </c>
      <c r="Y34" s="23"/>
      <c r="Z34" t="s" s="15">
        <v>6</v>
      </c>
      <c r="AA34" s="23"/>
      <c r="AB34" t="s" s="15">
        <v>6</v>
      </c>
      <c r="AC34" s="23"/>
      <c r="AD34" s="180"/>
      <c r="AE34" s="177"/>
      <c r="AF34" s="7"/>
    </row>
    <row r="35" ht="13.55" customHeight="1">
      <c r="A35" s="189"/>
      <c r="B35" t="s" s="15">
        <v>329</v>
      </c>
      <c r="C35" s="23"/>
      <c r="D35" s="23"/>
      <c r="E35" s="23"/>
      <c r="F35" t="s" s="15">
        <v>8</v>
      </c>
      <c r="G35" s="23"/>
      <c r="H35" t="s" s="15">
        <v>8</v>
      </c>
      <c r="I35" s="23"/>
      <c r="J35" t="s" s="15">
        <v>8</v>
      </c>
      <c r="K35" s="41"/>
      <c r="L35" t="s" s="15">
        <v>8</v>
      </c>
      <c r="M35" s="23"/>
      <c r="N35" t="s" s="15">
        <v>8</v>
      </c>
      <c r="O35" s="23"/>
      <c r="P35" t="s" s="15">
        <v>8</v>
      </c>
      <c r="Q35" s="23"/>
      <c r="R35" t="s" s="15">
        <v>8</v>
      </c>
      <c r="S35" s="23"/>
      <c r="T35" t="s" s="15">
        <v>8</v>
      </c>
      <c r="U35" s="23"/>
      <c r="V35" t="s" s="15">
        <v>8</v>
      </c>
      <c r="W35" s="23"/>
      <c r="X35" t="s" s="15">
        <v>8</v>
      </c>
      <c r="Y35" s="23"/>
      <c r="Z35" t="s" s="15">
        <v>8</v>
      </c>
      <c r="AA35" s="23"/>
      <c r="AB35" t="s" s="15">
        <v>8</v>
      </c>
      <c r="AC35" s="23"/>
      <c r="AD35" s="180" cm="1">
        <f t="array" ref="AD35">G35+I35+K35+M35+O35+Q35+S35+U35+W35+Y35+AA35+AC35</f>
      </c>
      <c r="AE35" s="177"/>
      <c r="AF35" s="7"/>
    </row>
    <row r="36" ht="13.55" customHeight="1">
      <c r="A36" s="190"/>
      <c r="B36" s="23"/>
      <c r="C36" s="23"/>
      <c r="D36" s="23"/>
      <c r="E36" s="23"/>
      <c r="F36" t="s" s="15">
        <v>10</v>
      </c>
      <c r="G36" s="23"/>
      <c r="H36" t="s" s="15">
        <v>10</v>
      </c>
      <c r="I36" s="191"/>
      <c r="J36" t="s" s="15">
        <v>10</v>
      </c>
      <c r="K36" s="45"/>
      <c r="L36" t="s" s="15">
        <v>10</v>
      </c>
      <c r="M36" s="191"/>
      <c r="N36" t="s" s="15">
        <v>10</v>
      </c>
      <c r="O36" s="191"/>
      <c r="P36" t="s" s="15">
        <v>10</v>
      </c>
      <c r="Q36" s="191"/>
      <c r="R36" t="s" s="15">
        <v>10</v>
      </c>
      <c r="S36" s="23"/>
      <c r="T36" t="s" s="15">
        <v>10</v>
      </c>
      <c r="U36" s="23"/>
      <c r="V36" t="s" s="15">
        <v>10</v>
      </c>
      <c r="W36" s="23"/>
      <c r="X36" t="s" s="15">
        <v>10</v>
      </c>
      <c r="Y36" s="23"/>
      <c r="Z36" t="s" s="15">
        <v>10</v>
      </c>
      <c r="AA36" s="23"/>
      <c r="AB36" t="s" s="15">
        <v>10</v>
      </c>
      <c r="AC36" s="23"/>
      <c r="AD36" s="180"/>
      <c r="AE36" s="177"/>
      <c r="AF36" s="7"/>
    </row>
    <row r="37" ht="13.55" customHeight="1">
      <c r="A37" s="187"/>
      <c r="B37" s="23"/>
      <c r="C37" s="23"/>
      <c r="D37" s="23"/>
      <c r="E37" s="23"/>
      <c r="F37" s="23"/>
      <c r="G37" s="23"/>
      <c r="H37" s="23"/>
      <c r="I37" s="191"/>
      <c r="J37" s="23"/>
      <c r="K37" s="23"/>
      <c r="L37" s="23"/>
      <c r="M37" s="191"/>
      <c r="N37" s="23"/>
      <c r="O37" s="191"/>
      <c r="P37" s="23"/>
      <c r="Q37" s="191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180"/>
      <c r="AE37" s="177"/>
      <c r="AF37" s="7"/>
    </row>
    <row r="38" ht="13.75" customHeight="1">
      <c r="A38" s="188">
        <v>6</v>
      </c>
      <c r="B38" t="s" s="130">
        <v>330</v>
      </c>
      <c r="C38" s="23"/>
      <c r="D38" s="23"/>
      <c r="E38" t="s" s="15">
        <v>5</v>
      </c>
      <c r="F38" t="s" s="15">
        <v>6</v>
      </c>
      <c r="G38" s="16">
        <v>1160</v>
      </c>
      <c r="H38" t="s" s="15">
        <v>6</v>
      </c>
      <c r="I38" s="16">
        <v>3230</v>
      </c>
      <c r="J38" t="s" s="15">
        <v>6</v>
      </c>
      <c r="K38" s="18"/>
      <c r="L38" t="s" s="15">
        <v>6</v>
      </c>
      <c r="M38" s="18"/>
      <c r="N38" t="s" s="15">
        <v>6</v>
      </c>
      <c r="O38" s="18"/>
      <c r="P38" t="s" s="15">
        <v>6</v>
      </c>
      <c r="Q38" s="18"/>
      <c r="R38" t="s" s="15">
        <v>6</v>
      </c>
      <c r="S38" s="18"/>
      <c r="T38" t="s" s="15">
        <v>6</v>
      </c>
      <c r="U38" s="18"/>
      <c r="V38" t="s" s="15">
        <v>6</v>
      </c>
      <c r="W38" s="18"/>
      <c r="X38" t="s" s="15">
        <v>6</v>
      </c>
      <c r="Y38" s="18"/>
      <c r="Z38" t="s" s="15">
        <v>6</v>
      </c>
      <c r="AA38" s="18"/>
      <c r="AB38" t="s" s="15">
        <v>6</v>
      </c>
      <c r="AC38" s="18"/>
      <c r="AD38" s="180"/>
      <c r="AE38" s="177"/>
      <c r="AF38" s="7"/>
    </row>
    <row r="39" ht="13.55" customHeight="1">
      <c r="A39" s="189"/>
      <c r="B39" s="27"/>
      <c r="C39" s="27"/>
      <c r="D39" s="27"/>
      <c r="E39" s="23"/>
      <c r="F39" t="s" s="15">
        <v>8</v>
      </c>
      <c r="G39" s="26">
        <v>1000</v>
      </c>
      <c r="H39" t="s" s="15">
        <v>8</v>
      </c>
      <c r="I39" s="26">
        <v>1000</v>
      </c>
      <c r="J39" t="s" s="15">
        <v>8</v>
      </c>
      <c r="K39" s="27"/>
      <c r="L39" t="s" s="15">
        <v>8</v>
      </c>
      <c r="M39" s="27"/>
      <c r="N39" t="s" s="15">
        <v>8</v>
      </c>
      <c r="O39" s="27"/>
      <c r="P39" t="s" s="15">
        <v>8</v>
      </c>
      <c r="Q39" s="27"/>
      <c r="R39" t="s" s="15">
        <v>8</v>
      </c>
      <c r="S39" s="27"/>
      <c r="T39" t="s" s="15">
        <v>8</v>
      </c>
      <c r="U39" s="27"/>
      <c r="V39" t="s" s="15">
        <v>8</v>
      </c>
      <c r="W39" s="27"/>
      <c r="X39" t="s" s="15">
        <v>8</v>
      </c>
      <c r="Y39" s="27"/>
      <c r="Z39" t="s" s="15">
        <v>8</v>
      </c>
      <c r="AA39" s="27"/>
      <c r="AB39" t="s" s="15">
        <v>8</v>
      </c>
      <c r="AC39" s="27"/>
      <c r="AD39" s="182" cm="1">
        <f t="array" ref="AD39">G39+I39+K39+M39+O39+Q39+S39+U39+W39+Y39+AA39+AC39</f>
        <v>2000</v>
      </c>
      <c r="AE39" s="183" cm="1">
        <f t="array" ref="AE39">900*12</f>
        <v>10800</v>
      </c>
      <c r="AF39" s="51" cm="1">
        <f t="array" ref="AF39">AE39-AD39</f>
        <v>8800</v>
      </c>
    </row>
    <row r="40" ht="13.55" customHeight="1">
      <c r="A40" s="189"/>
      <c r="B40" s="27"/>
      <c r="C40" t="s" s="8">
        <v>9</v>
      </c>
      <c r="D40" s="26">
        <v>1000</v>
      </c>
      <c r="E40" s="23"/>
      <c r="F40" t="s" s="15">
        <v>10</v>
      </c>
      <c r="G40" t="s" s="33">
        <v>70</v>
      </c>
      <c r="H40" t="s" s="15">
        <v>10</v>
      </c>
      <c r="I40" t="s" s="33">
        <v>85</v>
      </c>
      <c r="J40" t="s" s="15">
        <v>10</v>
      </c>
      <c r="K40" s="34"/>
      <c r="L40" t="s" s="15">
        <v>10</v>
      </c>
      <c r="M40" s="34"/>
      <c r="N40" t="s" s="15">
        <v>10</v>
      </c>
      <c r="O40" s="34"/>
      <c r="P40" t="s" s="15">
        <v>10</v>
      </c>
      <c r="Q40" s="34"/>
      <c r="R40" t="s" s="15">
        <v>10</v>
      </c>
      <c r="S40" s="34"/>
      <c r="T40" t="s" s="15">
        <v>10</v>
      </c>
      <c r="U40" s="34"/>
      <c r="V40" t="s" s="15">
        <v>10</v>
      </c>
      <c r="W40" s="34"/>
      <c r="X40" t="s" s="15">
        <v>10</v>
      </c>
      <c r="Y40" s="34"/>
      <c r="Z40" t="s" s="15">
        <v>10</v>
      </c>
      <c r="AA40" s="34"/>
      <c r="AB40" t="s" s="15">
        <v>10</v>
      </c>
      <c r="AC40" s="34"/>
      <c r="AD40" s="180"/>
      <c r="AE40" s="177"/>
      <c r="AF40" s="7"/>
    </row>
    <row r="41" ht="13.75" customHeight="1">
      <c r="A41" s="189"/>
      <c r="B41" t="s" s="15">
        <v>331</v>
      </c>
      <c r="C41" s="23"/>
      <c r="D41" s="23"/>
      <c r="E41" t="s" s="15">
        <v>14</v>
      </c>
      <c r="F41" t="s" s="15">
        <v>6</v>
      </c>
      <c r="G41" s="16">
        <v>2076</v>
      </c>
      <c r="H41" t="s" s="15">
        <v>6</v>
      </c>
      <c r="I41" s="16">
        <v>2196</v>
      </c>
      <c r="J41" t="s" s="15">
        <v>6</v>
      </c>
      <c r="K41" s="40"/>
      <c r="L41" t="s" s="15">
        <v>6</v>
      </c>
      <c r="M41" s="18"/>
      <c r="N41" t="s" s="15">
        <v>6</v>
      </c>
      <c r="O41" s="18"/>
      <c r="P41" t="s" s="15">
        <v>6</v>
      </c>
      <c r="Q41" s="18"/>
      <c r="R41" t="s" s="15">
        <v>6</v>
      </c>
      <c r="S41" s="18"/>
      <c r="T41" t="s" s="15">
        <v>6</v>
      </c>
      <c r="U41" s="18"/>
      <c r="V41" t="s" s="15">
        <v>6</v>
      </c>
      <c r="W41" s="18"/>
      <c r="X41" t="s" s="15">
        <v>6</v>
      </c>
      <c r="Y41" s="18"/>
      <c r="Z41" t="s" s="15">
        <v>6</v>
      </c>
      <c r="AA41" s="18"/>
      <c r="AB41" t="s" s="15">
        <v>6</v>
      </c>
      <c r="AC41" s="18"/>
      <c r="AD41" s="180"/>
      <c r="AE41" s="177"/>
      <c r="AF41" s="7"/>
    </row>
    <row r="42" ht="13.55" customHeight="1">
      <c r="A42" s="189"/>
      <c r="B42" t="s" s="15">
        <v>332</v>
      </c>
      <c r="C42" s="23"/>
      <c r="D42" s="23"/>
      <c r="E42" s="23"/>
      <c r="F42" t="s" s="15">
        <v>8</v>
      </c>
      <c r="G42" s="25">
        <v>600</v>
      </c>
      <c r="H42" t="s" s="15">
        <v>8</v>
      </c>
      <c r="I42" s="25">
        <v>600</v>
      </c>
      <c r="J42" t="s" s="15">
        <v>8</v>
      </c>
      <c r="K42" s="41"/>
      <c r="L42" t="s" s="15">
        <v>8</v>
      </c>
      <c r="M42" s="42"/>
      <c r="N42" t="s" s="15">
        <v>8</v>
      </c>
      <c r="O42" s="42"/>
      <c r="P42" t="s" s="15">
        <v>8</v>
      </c>
      <c r="Q42" s="42"/>
      <c r="R42" t="s" s="15">
        <v>8</v>
      </c>
      <c r="S42" s="42"/>
      <c r="T42" t="s" s="15">
        <v>8</v>
      </c>
      <c r="U42" s="27"/>
      <c r="V42" t="s" s="15">
        <v>8</v>
      </c>
      <c r="W42" s="27"/>
      <c r="X42" t="s" s="15">
        <v>8</v>
      </c>
      <c r="Y42" s="27"/>
      <c r="Z42" t="s" s="15">
        <v>8</v>
      </c>
      <c r="AA42" s="27"/>
      <c r="AB42" t="s" s="15">
        <v>8</v>
      </c>
      <c r="AC42" s="27"/>
      <c r="AD42" s="180" cm="1">
        <f t="array" ref="AD42">G42+I42+K42+M42+O42+Q42+S42+U42+W42+Y42+AA42+AC42</f>
      </c>
      <c r="AE42" s="183" cm="1">
        <f t="array" ref="AE42">500*11</f>
        <v>5500</v>
      </c>
      <c r="AF42" s="7" cm="1">
        <f t="array" ref="AF42">AE42-AD42</f>
      </c>
    </row>
    <row r="43" ht="13.55" customHeight="1">
      <c r="A43" s="190"/>
      <c r="B43" s="23"/>
      <c r="C43" s="23"/>
      <c r="D43" s="23"/>
      <c r="E43" s="23"/>
      <c r="F43" t="s" s="15">
        <v>10</v>
      </c>
      <c r="G43" t="s" s="33">
        <v>70</v>
      </c>
      <c r="H43" t="s" s="15">
        <v>10</v>
      </c>
      <c r="I43" t="s" s="33">
        <v>85</v>
      </c>
      <c r="J43" t="s" s="15">
        <v>10</v>
      </c>
      <c r="K43" s="45"/>
      <c r="L43" t="s" s="15">
        <v>10</v>
      </c>
      <c r="M43" s="34"/>
      <c r="N43" t="s" s="15">
        <v>10</v>
      </c>
      <c r="O43" s="34"/>
      <c r="P43" t="s" s="15">
        <v>10</v>
      </c>
      <c r="Q43" s="34"/>
      <c r="R43" t="s" s="15">
        <v>10</v>
      </c>
      <c r="S43" s="34"/>
      <c r="T43" t="s" s="15">
        <v>10</v>
      </c>
      <c r="U43" s="34"/>
      <c r="V43" t="s" s="15">
        <v>10</v>
      </c>
      <c r="W43" s="34"/>
      <c r="X43" t="s" s="15">
        <v>10</v>
      </c>
      <c r="Y43" s="34"/>
      <c r="Z43" t="s" s="15">
        <v>10</v>
      </c>
      <c r="AA43" s="34"/>
      <c r="AB43" t="s" s="15">
        <v>10</v>
      </c>
      <c r="AC43" s="34"/>
      <c r="AD43" s="180"/>
      <c r="AE43" s="177"/>
      <c r="AF43" s="7"/>
    </row>
    <row r="44" ht="13.55" customHeight="1">
      <c r="A44" s="187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180"/>
      <c r="AE44" s="177"/>
      <c r="AF44" s="7"/>
    </row>
    <row r="45" ht="13.75" customHeight="1">
      <c r="A45" s="188">
        <v>7</v>
      </c>
      <c r="B45" t="s" s="130">
        <v>333</v>
      </c>
      <c r="C45" s="23"/>
      <c r="D45" s="23"/>
      <c r="E45" t="s" s="15">
        <v>5</v>
      </c>
      <c r="F45" t="s" s="15">
        <v>6</v>
      </c>
      <c r="G45" s="16">
        <v>1217</v>
      </c>
      <c r="H45" t="s" s="15">
        <v>6</v>
      </c>
      <c r="I45" s="18"/>
      <c r="J45" t="s" s="15">
        <v>6</v>
      </c>
      <c r="K45" s="18"/>
      <c r="L45" t="s" s="15">
        <v>6</v>
      </c>
      <c r="M45" s="18"/>
      <c r="N45" t="s" s="15">
        <v>6</v>
      </c>
      <c r="O45" s="18"/>
      <c r="P45" t="s" s="15">
        <v>6</v>
      </c>
      <c r="Q45" s="18"/>
      <c r="R45" t="s" s="15">
        <v>6</v>
      </c>
      <c r="S45" s="18"/>
      <c r="T45" t="s" s="15">
        <v>6</v>
      </c>
      <c r="U45" s="18"/>
      <c r="V45" t="s" s="15">
        <v>6</v>
      </c>
      <c r="W45" s="18"/>
      <c r="X45" t="s" s="15">
        <v>6</v>
      </c>
      <c r="Y45" s="18"/>
      <c r="Z45" t="s" s="15">
        <v>6</v>
      </c>
      <c r="AA45" s="18"/>
      <c r="AB45" t="s" s="15">
        <v>6</v>
      </c>
      <c r="AC45" s="18"/>
      <c r="AD45" s="180"/>
      <c r="AE45" s="177"/>
      <c r="AF45" s="7"/>
    </row>
    <row r="46" ht="13.55" customHeight="1">
      <c r="A46" s="189"/>
      <c r="B46" s="27"/>
      <c r="C46" s="27"/>
      <c r="D46" s="27"/>
      <c r="E46" s="23"/>
      <c r="F46" t="s" s="15">
        <v>8</v>
      </c>
      <c r="G46" s="26">
        <v>1000</v>
      </c>
      <c r="H46" t="s" s="15">
        <v>8</v>
      </c>
      <c r="I46" s="27"/>
      <c r="J46" t="s" s="15">
        <v>8</v>
      </c>
      <c r="K46" s="27"/>
      <c r="L46" t="s" s="15">
        <v>8</v>
      </c>
      <c r="M46" s="27"/>
      <c r="N46" t="s" s="15">
        <v>8</v>
      </c>
      <c r="O46" s="27"/>
      <c r="P46" t="s" s="15">
        <v>8</v>
      </c>
      <c r="Q46" s="27"/>
      <c r="R46" t="s" s="15">
        <v>8</v>
      </c>
      <c r="S46" s="27"/>
      <c r="T46" t="s" s="15">
        <v>8</v>
      </c>
      <c r="U46" s="27"/>
      <c r="V46" t="s" s="15">
        <v>8</v>
      </c>
      <c r="W46" s="27"/>
      <c r="X46" t="s" s="15">
        <v>8</v>
      </c>
      <c r="Y46" s="27"/>
      <c r="Z46" t="s" s="15">
        <v>8</v>
      </c>
      <c r="AA46" s="27"/>
      <c r="AB46" t="s" s="15">
        <v>8</v>
      </c>
      <c r="AC46" s="27"/>
      <c r="AD46" s="182" cm="1">
        <f t="array" ref="AD46">G46+I46+K46+M46+O46+Q46+S46+U46+W46+Y46+AA46+AC46</f>
        <v>1000</v>
      </c>
      <c r="AE46" s="183" cm="1">
        <f t="array" ref="AE46">900*12</f>
        <v>10800</v>
      </c>
      <c r="AF46" s="51" cm="1">
        <f t="array" ref="AF46">AE46-AD46</f>
        <v>9800</v>
      </c>
    </row>
    <row r="47" ht="13.55" customHeight="1">
      <c r="A47" s="189"/>
      <c r="B47" s="27"/>
      <c r="C47" t="s" s="8">
        <v>9</v>
      </c>
      <c r="D47" s="26">
        <v>1000</v>
      </c>
      <c r="E47" s="23"/>
      <c r="F47" t="s" s="15">
        <v>10</v>
      </c>
      <c r="G47" t="s" s="33">
        <v>135</v>
      </c>
      <c r="H47" t="s" s="15">
        <v>10</v>
      </c>
      <c r="I47" s="34"/>
      <c r="J47" t="s" s="15">
        <v>10</v>
      </c>
      <c r="K47" s="34"/>
      <c r="L47" t="s" s="15">
        <v>10</v>
      </c>
      <c r="M47" s="34"/>
      <c r="N47" t="s" s="15">
        <v>10</v>
      </c>
      <c r="O47" s="34"/>
      <c r="P47" t="s" s="15">
        <v>10</v>
      </c>
      <c r="Q47" s="34"/>
      <c r="R47" t="s" s="15">
        <v>10</v>
      </c>
      <c r="S47" s="34"/>
      <c r="T47" t="s" s="15">
        <v>10</v>
      </c>
      <c r="U47" s="34"/>
      <c r="V47" t="s" s="15">
        <v>10</v>
      </c>
      <c r="W47" s="34"/>
      <c r="X47" t="s" s="15">
        <v>10</v>
      </c>
      <c r="Y47" s="34"/>
      <c r="Z47" t="s" s="15">
        <v>10</v>
      </c>
      <c r="AA47" s="34"/>
      <c r="AB47" t="s" s="15">
        <v>10</v>
      </c>
      <c r="AC47" s="34"/>
      <c r="AD47" s="180"/>
      <c r="AE47" s="177"/>
      <c r="AF47" s="7"/>
    </row>
    <row r="48" ht="13.75" customHeight="1">
      <c r="A48" s="189"/>
      <c r="B48" t="s" s="15">
        <v>334</v>
      </c>
      <c r="C48" s="23"/>
      <c r="D48" s="23"/>
      <c r="E48" t="s" s="15">
        <v>14</v>
      </c>
      <c r="F48" t="s" s="15">
        <v>6</v>
      </c>
      <c r="G48" s="16">
        <v>2128</v>
      </c>
      <c r="H48" t="s" s="15">
        <v>6</v>
      </c>
      <c r="I48" s="18"/>
      <c r="J48" t="s" s="15">
        <v>6</v>
      </c>
      <c r="K48" s="40"/>
      <c r="L48" t="s" s="15">
        <v>6</v>
      </c>
      <c r="M48" s="18"/>
      <c r="N48" t="s" s="15">
        <v>6</v>
      </c>
      <c r="O48" s="18"/>
      <c r="P48" t="s" s="15">
        <v>6</v>
      </c>
      <c r="Q48" s="18"/>
      <c r="R48" t="s" s="15">
        <v>6</v>
      </c>
      <c r="S48" s="18"/>
      <c r="T48" t="s" s="15">
        <v>6</v>
      </c>
      <c r="U48" s="18"/>
      <c r="V48" t="s" s="15">
        <v>6</v>
      </c>
      <c r="W48" s="18"/>
      <c r="X48" t="s" s="15">
        <v>6</v>
      </c>
      <c r="Y48" s="18"/>
      <c r="Z48" t="s" s="15">
        <v>6</v>
      </c>
      <c r="AA48" s="18"/>
      <c r="AB48" t="s" s="15">
        <v>6</v>
      </c>
      <c r="AC48" s="131"/>
      <c r="AD48" s="180"/>
      <c r="AE48" s="177"/>
      <c r="AF48" s="7"/>
    </row>
    <row r="49" ht="13.55" customHeight="1">
      <c r="A49" s="189"/>
      <c r="B49" t="s" s="15">
        <v>335</v>
      </c>
      <c r="C49" s="23"/>
      <c r="D49" s="23"/>
      <c r="E49" s="23"/>
      <c r="F49" t="s" s="15">
        <v>8</v>
      </c>
      <c r="G49" s="26">
        <v>600</v>
      </c>
      <c r="H49" t="s" s="15">
        <v>8</v>
      </c>
      <c r="I49" s="27"/>
      <c r="J49" t="s" s="15">
        <v>8</v>
      </c>
      <c r="K49" s="41"/>
      <c r="L49" t="s" s="15">
        <v>8</v>
      </c>
      <c r="M49" s="27"/>
      <c r="N49" t="s" s="15">
        <v>8</v>
      </c>
      <c r="O49" s="27"/>
      <c r="P49" t="s" s="15">
        <v>8</v>
      </c>
      <c r="Q49" s="27"/>
      <c r="R49" t="s" s="15">
        <v>8</v>
      </c>
      <c r="S49" s="27"/>
      <c r="T49" t="s" s="15">
        <v>8</v>
      </c>
      <c r="U49" s="27"/>
      <c r="V49" t="s" s="15">
        <v>8</v>
      </c>
      <c r="W49" s="27"/>
      <c r="X49" t="s" s="15">
        <v>8</v>
      </c>
      <c r="Y49" s="27"/>
      <c r="Z49" t="s" s="15">
        <v>8</v>
      </c>
      <c r="AA49" s="27"/>
      <c r="AB49" t="s" s="15">
        <v>8</v>
      </c>
      <c r="AC49" s="27"/>
      <c r="AD49" s="180" cm="1">
        <f t="array" ref="AD49">G49+I49+K49+M49+O49+Q49+S49+U49+W49+Y49+AA49+AC49</f>
      </c>
      <c r="AE49" s="183" cm="1">
        <f t="array" ref="AE49">500*11</f>
        <v>5500</v>
      </c>
      <c r="AF49" s="7" cm="1">
        <f t="array" ref="AF49">AE49-AD49</f>
      </c>
    </row>
    <row r="50" ht="13.55" customHeight="1">
      <c r="A50" s="190"/>
      <c r="B50" s="23"/>
      <c r="C50" s="23"/>
      <c r="D50" s="23"/>
      <c r="E50" s="23"/>
      <c r="F50" t="s" s="15">
        <v>10</v>
      </c>
      <c r="G50" t="s" s="33">
        <v>336</v>
      </c>
      <c r="H50" t="s" s="15">
        <v>10</v>
      </c>
      <c r="I50" s="34"/>
      <c r="J50" t="s" s="15">
        <v>10</v>
      </c>
      <c r="K50" s="45"/>
      <c r="L50" t="s" s="15">
        <v>10</v>
      </c>
      <c r="M50" s="34"/>
      <c r="N50" t="s" s="15">
        <v>10</v>
      </c>
      <c r="O50" s="34"/>
      <c r="P50" t="s" s="15">
        <v>10</v>
      </c>
      <c r="Q50" s="34"/>
      <c r="R50" t="s" s="15">
        <v>10</v>
      </c>
      <c r="S50" s="34"/>
      <c r="T50" t="s" s="15">
        <v>10</v>
      </c>
      <c r="U50" s="34"/>
      <c r="V50" t="s" s="15">
        <v>10</v>
      </c>
      <c r="W50" s="34"/>
      <c r="X50" t="s" s="15">
        <v>10</v>
      </c>
      <c r="Y50" s="34"/>
      <c r="Z50" t="s" s="15">
        <v>10</v>
      </c>
      <c r="AA50" s="34"/>
      <c r="AB50" t="s" s="15">
        <v>10</v>
      </c>
      <c r="AC50" s="34"/>
      <c r="AD50" s="180"/>
      <c r="AE50" s="177"/>
      <c r="AF50" s="7"/>
    </row>
    <row r="51" ht="13.55" customHeight="1">
      <c r="A51" s="187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180"/>
      <c r="AE51" s="177"/>
      <c r="AF51" s="7"/>
    </row>
    <row r="52" ht="13.75" customHeight="1">
      <c r="A52" s="188">
        <v>8</v>
      </c>
      <c r="B52" t="s" s="130">
        <v>337</v>
      </c>
      <c r="C52" s="23"/>
      <c r="D52" s="23"/>
      <c r="E52" t="s" s="15">
        <v>5</v>
      </c>
      <c r="F52" t="s" s="15">
        <v>6</v>
      </c>
      <c r="G52" s="16">
        <v>1233</v>
      </c>
      <c r="H52" t="s" s="15">
        <v>6</v>
      </c>
      <c r="I52" s="18"/>
      <c r="J52" t="s" s="15">
        <v>6</v>
      </c>
      <c r="K52" s="18"/>
      <c r="L52" t="s" s="15">
        <v>6</v>
      </c>
      <c r="M52" s="18"/>
      <c r="N52" t="s" s="15">
        <v>6</v>
      </c>
      <c r="O52" s="18"/>
      <c r="P52" t="s" s="15">
        <v>6</v>
      </c>
      <c r="Q52" s="18"/>
      <c r="R52" t="s" s="15">
        <v>6</v>
      </c>
      <c r="S52" s="18"/>
      <c r="T52" t="s" s="15">
        <v>6</v>
      </c>
      <c r="U52" s="18"/>
      <c r="V52" t="s" s="15">
        <v>6</v>
      </c>
      <c r="W52" s="18"/>
      <c r="X52" t="s" s="15">
        <v>6</v>
      </c>
      <c r="Y52" s="18"/>
      <c r="Z52" t="s" s="15">
        <v>6</v>
      </c>
      <c r="AA52" s="18"/>
      <c r="AB52" t="s" s="15">
        <v>6</v>
      </c>
      <c r="AC52" s="18"/>
      <c r="AD52" s="180"/>
      <c r="AE52" s="177"/>
      <c r="AF52" s="7"/>
    </row>
    <row r="53" ht="13.55" customHeight="1">
      <c r="A53" s="189"/>
      <c r="B53" s="27"/>
      <c r="C53" s="27"/>
      <c r="D53" s="27"/>
      <c r="E53" s="23"/>
      <c r="F53" t="s" s="15">
        <v>8</v>
      </c>
      <c r="G53" s="26">
        <v>1000</v>
      </c>
      <c r="H53" t="s" s="15">
        <v>8</v>
      </c>
      <c r="I53" s="27"/>
      <c r="J53" t="s" s="15">
        <v>8</v>
      </c>
      <c r="K53" s="27"/>
      <c r="L53" t="s" s="15">
        <v>8</v>
      </c>
      <c r="M53" s="27"/>
      <c r="N53" t="s" s="15">
        <v>8</v>
      </c>
      <c r="O53" s="27"/>
      <c r="P53" t="s" s="15">
        <v>8</v>
      </c>
      <c r="Q53" s="27"/>
      <c r="R53" t="s" s="15">
        <v>8</v>
      </c>
      <c r="S53" s="27"/>
      <c r="T53" t="s" s="15">
        <v>8</v>
      </c>
      <c r="U53" s="27"/>
      <c r="V53" t="s" s="15">
        <v>8</v>
      </c>
      <c r="W53" s="27"/>
      <c r="X53" t="s" s="15">
        <v>8</v>
      </c>
      <c r="Y53" s="27"/>
      <c r="Z53" t="s" s="15">
        <v>8</v>
      </c>
      <c r="AA53" s="27"/>
      <c r="AB53" t="s" s="15">
        <v>8</v>
      </c>
      <c r="AC53" s="27"/>
      <c r="AD53" s="182" cm="1">
        <f t="array" ref="AD53">G53+I53+K53+M53+O53+Q53+S53+U53+W53+Y53+AA53+AC53</f>
        <v>1000</v>
      </c>
      <c r="AE53" s="183" cm="1">
        <f t="array" ref="AE53">900*12</f>
        <v>10800</v>
      </c>
      <c r="AF53" s="51" cm="1">
        <f t="array" ref="AF53">AE53-AD53</f>
        <v>9800</v>
      </c>
    </row>
    <row r="54" ht="13.55" customHeight="1">
      <c r="A54" s="189"/>
      <c r="B54" s="27"/>
      <c r="C54" t="s" s="8">
        <v>9</v>
      </c>
      <c r="D54" s="26">
        <v>1000</v>
      </c>
      <c r="E54" s="23"/>
      <c r="F54" t="s" s="15">
        <v>10</v>
      </c>
      <c r="G54" t="s" s="33">
        <v>338</v>
      </c>
      <c r="H54" t="s" s="15">
        <v>10</v>
      </c>
      <c r="I54" s="34"/>
      <c r="J54" t="s" s="15">
        <v>10</v>
      </c>
      <c r="K54" s="34"/>
      <c r="L54" t="s" s="15">
        <v>10</v>
      </c>
      <c r="M54" s="34"/>
      <c r="N54" t="s" s="15">
        <v>10</v>
      </c>
      <c r="O54" s="34"/>
      <c r="P54" t="s" s="15">
        <v>10</v>
      </c>
      <c r="Q54" s="34"/>
      <c r="R54" t="s" s="15">
        <v>10</v>
      </c>
      <c r="S54" s="34"/>
      <c r="T54" t="s" s="15">
        <v>10</v>
      </c>
      <c r="U54" s="34"/>
      <c r="V54" t="s" s="15">
        <v>10</v>
      </c>
      <c r="W54" s="34"/>
      <c r="X54" t="s" s="15">
        <v>10</v>
      </c>
      <c r="Y54" s="34"/>
      <c r="Z54" t="s" s="15">
        <v>10</v>
      </c>
      <c r="AA54" s="34"/>
      <c r="AB54" t="s" s="15">
        <v>10</v>
      </c>
      <c r="AC54" s="34"/>
      <c r="AD54" s="180"/>
      <c r="AE54" s="177"/>
      <c r="AF54" s="7"/>
    </row>
    <row r="55" ht="13.75" customHeight="1">
      <c r="A55" s="189"/>
      <c r="B55" t="s" s="15">
        <v>339</v>
      </c>
      <c r="C55" s="23"/>
      <c r="D55" s="23"/>
      <c r="E55" t="s" s="15">
        <v>14</v>
      </c>
      <c r="F55" t="s" s="15">
        <v>6</v>
      </c>
      <c r="G55" s="16">
        <v>2131</v>
      </c>
      <c r="H55" t="s" s="15">
        <v>6</v>
      </c>
      <c r="I55" s="18"/>
      <c r="J55" t="s" s="15">
        <v>6</v>
      </c>
      <c r="K55" s="40"/>
      <c r="L55" t="s" s="15">
        <v>6</v>
      </c>
      <c r="M55" s="18"/>
      <c r="N55" t="s" s="15">
        <v>6</v>
      </c>
      <c r="O55" s="18"/>
      <c r="P55" t="s" s="15">
        <v>6</v>
      </c>
      <c r="Q55" s="18"/>
      <c r="R55" t="s" s="15">
        <v>6</v>
      </c>
      <c r="S55" s="18"/>
      <c r="T55" t="s" s="15">
        <v>6</v>
      </c>
      <c r="U55" s="18"/>
      <c r="V55" t="s" s="15">
        <v>6</v>
      </c>
      <c r="W55" s="18"/>
      <c r="X55" t="s" s="15">
        <v>6</v>
      </c>
      <c r="Y55" s="18"/>
      <c r="Z55" t="s" s="15">
        <v>6</v>
      </c>
      <c r="AA55" s="18"/>
      <c r="AB55" t="s" s="15">
        <v>6</v>
      </c>
      <c r="AC55" s="18"/>
      <c r="AD55" s="180"/>
      <c r="AE55" s="177"/>
      <c r="AF55" s="7"/>
    </row>
    <row r="56" ht="13.55" customHeight="1">
      <c r="A56" s="189"/>
      <c r="B56" t="s" s="15">
        <v>340</v>
      </c>
      <c r="C56" s="23"/>
      <c r="D56" s="23"/>
      <c r="E56" s="23"/>
      <c r="F56" t="s" s="15">
        <v>8</v>
      </c>
      <c r="G56" s="25">
        <v>600</v>
      </c>
      <c r="H56" t="s" s="15">
        <v>8</v>
      </c>
      <c r="I56" s="42"/>
      <c r="J56" t="s" s="15">
        <v>8</v>
      </c>
      <c r="K56" s="41"/>
      <c r="L56" t="s" s="15">
        <v>8</v>
      </c>
      <c r="M56" s="42"/>
      <c r="N56" t="s" s="15">
        <v>8</v>
      </c>
      <c r="O56" s="42"/>
      <c r="P56" t="s" s="15">
        <v>8</v>
      </c>
      <c r="Q56" s="42"/>
      <c r="R56" t="s" s="15">
        <v>8</v>
      </c>
      <c r="S56" s="27"/>
      <c r="T56" t="s" s="15">
        <v>8</v>
      </c>
      <c r="U56" s="27"/>
      <c r="V56" t="s" s="15">
        <v>8</v>
      </c>
      <c r="W56" s="27"/>
      <c r="X56" t="s" s="15">
        <v>8</v>
      </c>
      <c r="Y56" s="27"/>
      <c r="Z56" t="s" s="15">
        <v>8</v>
      </c>
      <c r="AA56" s="27"/>
      <c r="AB56" t="s" s="15">
        <v>8</v>
      </c>
      <c r="AC56" s="27"/>
      <c r="AD56" s="180" cm="1">
        <f t="array" ref="AD56">G56+I56+K56+M56+O56+Q56+S56+U56+W56+Y56+AA56+AC56</f>
      </c>
      <c r="AE56" s="183" cm="1">
        <f t="array" ref="AE56">500*11</f>
        <v>5500</v>
      </c>
      <c r="AF56" s="7" cm="1">
        <f t="array" ref="AF56">AE56-AD56</f>
      </c>
    </row>
    <row r="57" ht="13.55" customHeight="1">
      <c r="A57" s="190"/>
      <c r="B57" s="23"/>
      <c r="C57" s="23"/>
      <c r="D57" s="23"/>
      <c r="E57" s="23"/>
      <c r="F57" t="s" s="15">
        <v>10</v>
      </c>
      <c r="G57" t="s" s="163">
        <v>338</v>
      </c>
      <c r="H57" t="s" s="15">
        <v>10</v>
      </c>
      <c r="I57" s="46"/>
      <c r="J57" t="s" s="15">
        <v>10</v>
      </c>
      <c r="K57" s="45"/>
      <c r="L57" t="s" s="15">
        <v>10</v>
      </c>
      <c r="M57" s="46"/>
      <c r="N57" t="s" s="15">
        <v>10</v>
      </c>
      <c r="O57" s="46"/>
      <c r="P57" t="s" s="15">
        <v>10</v>
      </c>
      <c r="Q57" s="46"/>
      <c r="R57" t="s" s="15">
        <v>10</v>
      </c>
      <c r="S57" s="34"/>
      <c r="T57" t="s" s="15">
        <v>10</v>
      </c>
      <c r="U57" s="34"/>
      <c r="V57" t="s" s="15">
        <v>10</v>
      </c>
      <c r="W57" s="34"/>
      <c r="X57" t="s" s="15">
        <v>10</v>
      </c>
      <c r="Y57" s="34"/>
      <c r="Z57" t="s" s="15">
        <v>10</v>
      </c>
      <c r="AA57" s="34"/>
      <c r="AB57" t="s" s="15">
        <v>10</v>
      </c>
      <c r="AC57" s="34"/>
      <c r="AD57" s="180"/>
      <c r="AE57" s="177"/>
      <c r="AF57" s="7"/>
    </row>
    <row r="58" ht="13.55" customHeight="1">
      <c r="A58" s="187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180"/>
      <c r="AE58" s="177"/>
      <c r="AF58" s="7"/>
    </row>
    <row r="59" ht="13.75" customHeight="1">
      <c r="A59" s="188">
        <v>9</v>
      </c>
      <c r="B59" t="s" s="130">
        <v>341</v>
      </c>
      <c r="C59" s="23"/>
      <c r="D59" s="23"/>
      <c r="E59" t="s" s="15">
        <v>5</v>
      </c>
      <c r="F59" t="s" s="15">
        <v>6</v>
      </c>
      <c r="G59" s="16">
        <v>1165</v>
      </c>
      <c r="H59" t="s" s="15">
        <v>6</v>
      </c>
      <c r="I59" s="16">
        <v>3229</v>
      </c>
      <c r="J59" t="s" s="15">
        <v>6</v>
      </c>
      <c r="K59" s="16">
        <v>3229</v>
      </c>
      <c r="L59" t="s" s="15">
        <v>6</v>
      </c>
      <c r="M59" s="18"/>
      <c r="N59" t="s" s="15">
        <v>6</v>
      </c>
      <c r="O59" s="18"/>
      <c r="P59" t="s" s="15">
        <v>6</v>
      </c>
      <c r="Q59" s="18"/>
      <c r="R59" t="s" s="15">
        <v>6</v>
      </c>
      <c r="S59" s="18"/>
      <c r="T59" t="s" s="15">
        <v>6</v>
      </c>
      <c r="U59" s="18"/>
      <c r="V59" t="s" s="15">
        <v>6</v>
      </c>
      <c r="W59" s="18"/>
      <c r="X59" t="s" s="15">
        <v>6</v>
      </c>
      <c r="Y59" s="18"/>
      <c r="Z59" t="s" s="15">
        <v>6</v>
      </c>
      <c r="AA59" s="18"/>
      <c r="AB59" t="s" s="15">
        <v>6</v>
      </c>
      <c r="AC59" s="131"/>
      <c r="AD59" s="180"/>
      <c r="AE59" s="177"/>
      <c r="AF59" s="7"/>
    </row>
    <row r="60" ht="13.55" customHeight="1">
      <c r="A60" s="189"/>
      <c r="B60" s="27"/>
      <c r="C60" s="27"/>
      <c r="D60" s="27"/>
      <c r="E60" s="23"/>
      <c r="F60" t="s" s="15">
        <v>8</v>
      </c>
      <c r="G60" s="26">
        <v>1000</v>
      </c>
      <c r="H60" t="s" s="15">
        <v>8</v>
      </c>
      <c r="I60" s="26">
        <v>1000</v>
      </c>
      <c r="J60" t="s" s="15">
        <v>8</v>
      </c>
      <c r="K60" s="26">
        <v>1000</v>
      </c>
      <c r="L60" t="s" s="15">
        <v>8</v>
      </c>
      <c r="M60" s="27"/>
      <c r="N60" t="s" s="15">
        <v>8</v>
      </c>
      <c r="O60" s="27"/>
      <c r="P60" t="s" s="15">
        <v>8</v>
      </c>
      <c r="Q60" s="27"/>
      <c r="R60" t="s" s="15">
        <v>8</v>
      </c>
      <c r="S60" s="27"/>
      <c r="T60" t="s" s="15">
        <v>8</v>
      </c>
      <c r="U60" s="27"/>
      <c r="V60" t="s" s="15">
        <v>8</v>
      </c>
      <c r="W60" s="27"/>
      <c r="X60" t="s" s="15">
        <v>8</v>
      </c>
      <c r="Y60" s="27"/>
      <c r="Z60" t="s" s="15">
        <v>8</v>
      </c>
      <c r="AA60" s="27"/>
      <c r="AB60" t="s" s="15">
        <v>8</v>
      </c>
      <c r="AC60" s="27"/>
      <c r="AD60" s="182" cm="1">
        <f t="array" ref="AD60">G60+I60+K60+M60+O60+Q60+S60+U60+W60+Y60+AA60+AC60</f>
        <v>3000</v>
      </c>
      <c r="AE60" s="183" cm="1">
        <f t="array" ref="AE60">900*12</f>
        <v>10800</v>
      </c>
      <c r="AF60" s="51" cm="1">
        <f t="array" ref="AF60">AE60-AD60</f>
        <v>7800</v>
      </c>
    </row>
    <row r="61" ht="13.55" customHeight="1">
      <c r="A61" s="189"/>
      <c r="B61" s="27"/>
      <c r="C61" t="s" s="8">
        <v>9</v>
      </c>
      <c r="D61" s="26">
        <v>1000</v>
      </c>
      <c r="E61" s="185"/>
      <c r="F61" t="s" s="15">
        <v>10</v>
      </c>
      <c r="G61" t="s" s="33">
        <v>70</v>
      </c>
      <c r="H61" t="s" s="15">
        <v>10</v>
      </c>
      <c r="I61" t="s" s="33">
        <v>85</v>
      </c>
      <c r="J61" t="s" s="15">
        <v>10</v>
      </c>
      <c r="K61" t="s" s="33">
        <v>85</v>
      </c>
      <c r="L61" t="s" s="15">
        <v>10</v>
      </c>
      <c r="M61" s="34"/>
      <c r="N61" t="s" s="15">
        <v>10</v>
      </c>
      <c r="O61" s="34"/>
      <c r="P61" t="s" s="15">
        <v>10</v>
      </c>
      <c r="Q61" s="34"/>
      <c r="R61" t="s" s="15">
        <v>10</v>
      </c>
      <c r="S61" s="34"/>
      <c r="T61" t="s" s="15">
        <v>10</v>
      </c>
      <c r="U61" s="34"/>
      <c r="V61" t="s" s="15">
        <v>10</v>
      </c>
      <c r="W61" s="34"/>
      <c r="X61" t="s" s="15">
        <v>10</v>
      </c>
      <c r="Y61" s="34"/>
      <c r="Z61" t="s" s="15">
        <v>10</v>
      </c>
      <c r="AA61" s="34"/>
      <c r="AB61" t="s" s="15">
        <v>10</v>
      </c>
      <c r="AC61" s="46"/>
      <c r="AD61" s="180"/>
      <c r="AE61" s="177"/>
      <c r="AF61" s="7"/>
    </row>
    <row r="62" ht="13.75" customHeight="1">
      <c r="A62" s="189"/>
      <c r="B62" t="s" s="15">
        <v>342</v>
      </c>
      <c r="C62" s="23"/>
      <c r="D62" s="23"/>
      <c r="E62" t="s" s="15">
        <v>14</v>
      </c>
      <c r="F62" t="s" s="15">
        <v>6</v>
      </c>
      <c r="G62" s="16">
        <v>2081</v>
      </c>
      <c r="H62" t="s" s="15">
        <v>6</v>
      </c>
      <c r="I62" s="16">
        <v>2195</v>
      </c>
      <c r="J62" t="s" s="15">
        <v>6</v>
      </c>
      <c r="K62" s="148"/>
      <c r="L62" t="s" s="15">
        <v>6</v>
      </c>
      <c r="M62" s="18"/>
      <c r="N62" t="s" s="15">
        <v>6</v>
      </c>
      <c r="O62" s="18"/>
      <c r="P62" t="s" s="15">
        <v>6</v>
      </c>
      <c r="Q62" s="18"/>
      <c r="R62" t="s" s="15">
        <v>6</v>
      </c>
      <c r="S62" s="18"/>
      <c r="T62" t="s" s="15">
        <v>6</v>
      </c>
      <c r="U62" s="18"/>
      <c r="V62" t="s" s="15">
        <v>6</v>
      </c>
      <c r="W62" s="18"/>
      <c r="X62" t="s" s="15">
        <v>6</v>
      </c>
      <c r="Y62" s="18"/>
      <c r="Z62" t="s" s="15">
        <v>6</v>
      </c>
      <c r="AA62" s="18"/>
      <c r="AB62" t="s" s="15">
        <v>6</v>
      </c>
      <c r="AC62" s="131"/>
      <c r="AD62" s="180"/>
      <c r="AE62" s="177"/>
      <c r="AF62" s="7"/>
    </row>
    <row r="63" ht="13.55" customHeight="1">
      <c r="A63" s="189"/>
      <c r="B63" t="s" s="15">
        <v>343</v>
      </c>
      <c r="C63" s="23"/>
      <c r="D63" s="23"/>
      <c r="E63" s="23"/>
      <c r="F63" t="s" s="15">
        <v>8</v>
      </c>
      <c r="G63" s="26">
        <v>600</v>
      </c>
      <c r="H63" t="s" s="15">
        <v>8</v>
      </c>
      <c r="I63" s="26">
        <v>600</v>
      </c>
      <c r="J63" t="s" s="15">
        <v>8</v>
      </c>
      <c r="K63" s="149"/>
      <c r="L63" t="s" s="15">
        <v>8</v>
      </c>
      <c r="M63" s="27"/>
      <c r="N63" t="s" s="15">
        <v>8</v>
      </c>
      <c r="O63" s="27"/>
      <c r="P63" t="s" s="15">
        <v>8</v>
      </c>
      <c r="Q63" s="27"/>
      <c r="R63" t="s" s="15">
        <v>8</v>
      </c>
      <c r="S63" s="27"/>
      <c r="T63" t="s" s="15">
        <v>8</v>
      </c>
      <c r="U63" s="27"/>
      <c r="V63" t="s" s="15">
        <v>8</v>
      </c>
      <c r="W63" s="27"/>
      <c r="X63" t="s" s="15">
        <v>8</v>
      </c>
      <c r="Y63" s="27"/>
      <c r="Z63" t="s" s="15">
        <v>8</v>
      </c>
      <c r="AA63" s="27"/>
      <c r="AB63" t="s" s="15">
        <v>8</v>
      </c>
      <c r="AC63" s="27"/>
      <c r="AD63" s="180" cm="1">
        <f t="array" ref="AD63">G63+I63+K63+M63+O63+Q63+S63+U63+W63+Y63+AA63+AC63</f>
      </c>
      <c r="AE63" s="183" cm="1">
        <f t="array" ref="AE63">500*11</f>
        <v>5500</v>
      </c>
      <c r="AF63" s="7" cm="1">
        <f t="array" ref="AF63">AE63-AD63</f>
      </c>
    </row>
    <row r="64" ht="13.55" customHeight="1">
      <c r="A64" s="190"/>
      <c r="B64" s="23"/>
      <c r="C64" s="23"/>
      <c r="D64" s="23"/>
      <c r="E64" s="23"/>
      <c r="F64" t="s" s="15">
        <v>10</v>
      </c>
      <c r="G64" t="s" s="33">
        <v>70</v>
      </c>
      <c r="H64" t="s" s="15">
        <v>10</v>
      </c>
      <c r="I64" t="s" s="33">
        <v>85</v>
      </c>
      <c r="J64" t="s" s="15">
        <v>10</v>
      </c>
      <c r="K64" s="150"/>
      <c r="L64" t="s" s="15">
        <v>10</v>
      </c>
      <c r="M64" s="34"/>
      <c r="N64" t="s" s="15">
        <v>10</v>
      </c>
      <c r="O64" s="34"/>
      <c r="P64" t="s" s="15">
        <v>10</v>
      </c>
      <c r="Q64" s="34"/>
      <c r="R64" t="s" s="15">
        <v>10</v>
      </c>
      <c r="S64" s="34"/>
      <c r="T64" t="s" s="15">
        <v>10</v>
      </c>
      <c r="U64" s="34"/>
      <c r="V64" t="s" s="15">
        <v>10</v>
      </c>
      <c r="W64" s="34"/>
      <c r="X64" t="s" s="15">
        <v>10</v>
      </c>
      <c r="Y64" s="34"/>
      <c r="Z64" t="s" s="15">
        <v>10</v>
      </c>
      <c r="AA64" s="34"/>
      <c r="AB64" t="s" s="15">
        <v>10</v>
      </c>
      <c r="AC64" s="34"/>
      <c r="AD64" s="180"/>
      <c r="AE64" s="177"/>
      <c r="AF64" s="7"/>
    </row>
    <row r="65" ht="13.55" customHeight="1">
      <c r="A65" s="187"/>
      <c r="B65" s="23"/>
      <c r="C65" s="23"/>
      <c r="D65" s="23"/>
      <c r="E65" s="23"/>
      <c r="F65" s="23"/>
      <c r="G65" s="23"/>
      <c r="H65" s="23"/>
      <c r="I65" s="64"/>
      <c r="J65" s="23"/>
      <c r="K65" s="23"/>
      <c r="L65" s="23"/>
      <c r="M65" s="64"/>
      <c r="N65" s="23"/>
      <c r="O65" s="64"/>
      <c r="P65" s="23"/>
      <c r="Q65" s="64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180"/>
      <c r="AE65" s="177"/>
      <c r="AF65" s="7"/>
    </row>
    <row r="66" ht="13.75" customHeight="1">
      <c r="A66" s="188">
        <v>10</v>
      </c>
      <c r="B66" t="s" s="130">
        <v>344</v>
      </c>
      <c r="C66" s="23"/>
      <c r="D66" s="23"/>
      <c r="E66" t="s" s="15">
        <v>5</v>
      </c>
      <c r="F66" t="s" s="15">
        <v>6</v>
      </c>
      <c r="G66" s="16">
        <v>1087</v>
      </c>
      <c r="H66" t="s" s="15">
        <v>6</v>
      </c>
      <c r="I66" s="16">
        <v>3241</v>
      </c>
      <c r="J66" t="s" s="15">
        <v>6</v>
      </c>
      <c r="K66" s="16">
        <v>3241</v>
      </c>
      <c r="L66" t="s" s="15">
        <v>6</v>
      </c>
      <c r="M66" s="18"/>
      <c r="N66" t="s" s="15">
        <v>6</v>
      </c>
      <c r="O66" s="18"/>
      <c r="P66" t="s" s="15">
        <v>6</v>
      </c>
      <c r="Q66" s="18"/>
      <c r="R66" t="s" s="15">
        <v>6</v>
      </c>
      <c r="S66" s="18"/>
      <c r="T66" t="s" s="15">
        <v>6</v>
      </c>
      <c r="U66" s="18"/>
      <c r="V66" t="s" s="15">
        <v>6</v>
      </c>
      <c r="W66" s="18"/>
      <c r="X66" t="s" s="15">
        <v>6</v>
      </c>
      <c r="Y66" s="18"/>
      <c r="Z66" t="s" s="15">
        <v>6</v>
      </c>
      <c r="AA66" s="18"/>
      <c r="AB66" t="s" s="15">
        <v>6</v>
      </c>
      <c r="AC66" s="18"/>
      <c r="AD66" s="180"/>
      <c r="AE66" s="177"/>
      <c r="AF66" s="7"/>
    </row>
    <row r="67" ht="13.55" customHeight="1">
      <c r="A67" s="189"/>
      <c r="B67" s="27"/>
      <c r="C67" s="27"/>
      <c r="D67" s="27"/>
      <c r="E67" s="23"/>
      <c r="F67" t="s" s="15">
        <v>8</v>
      </c>
      <c r="G67" s="26">
        <v>1000</v>
      </c>
      <c r="H67" t="s" s="15">
        <v>8</v>
      </c>
      <c r="I67" s="26">
        <v>1000</v>
      </c>
      <c r="J67" t="s" s="15">
        <v>8</v>
      </c>
      <c r="K67" s="26">
        <v>1000</v>
      </c>
      <c r="L67" t="s" s="15">
        <v>8</v>
      </c>
      <c r="M67" s="27"/>
      <c r="N67" t="s" s="15">
        <v>8</v>
      </c>
      <c r="O67" s="27"/>
      <c r="P67" t="s" s="15">
        <v>8</v>
      </c>
      <c r="Q67" s="27"/>
      <c r="R67" t="s" s="15">
        <v>8</v>
      </c>
      <c r="S67" s="27"/>
      <c r="T67" t="s" s="15">
        <v>8</v>
      </c>
      <c r="U67" s="27"/>
      <c r="V67" t="s" s="15">
        <v>8</v>
      </c>
      <c r="W67" s="27"/>
      <c r="X67" t="s" s="15">
        <v>8</v>
      </c>
      <c r="Y67" s="27"/>
      <c r="Z67" t="s" s="15">
        <v>8</v>
      </c>
      <c r="AA67" s="27"/>
      <c r="AB67" t="s" s="15">
        <v>8</v>
      </c>
      <c r="AC67" s="27"/>
      <c r="AD67" s="182" cm="1">
        <f t="array" ref="AD67">G67+I67+K67+M67+O67+Q67+S67+U67+W67+Y67+AA67+AC67</f>
        <v>3000</v>
      </c>
      <c r="AE67" s="183" cm="1">
        <f t="array" ref="AE67">900*12</f>
        <v>10800</v>
      </c>
      <c r="AF67" s="51" cm="1">
        <f t="array" ref="AF67">AE67-AD67</f>
        <v>7800</v>
      </c>
    </row>
    <row r="68" ht="13.55" customHeight="1">
      <c r="A68" s="189"/>
      <c r="B68" s="27"/>
      <c r="C68" t="s" s="8">
        <v>9</v>
      </c>
      <c r="D68" s="26">
        <v>1000</v>
      </c>
      <c r="E68" s="23"/>
      <c r="F68" t="s" s="15">
        <v>10</v>
      </c>
      <c r="G68" t="s" s="33">
        <v>17</v>
      </c>
      <c r="H68" t="s" s="15">
        <v>10</v>
      </c>
      <c r="I68" t="s" s="33">
        <v>64</v>
      </c>
      <c r="J68" t="s" s="15">
        <v>10</v>
      </c>
      <c r="K68" t="s" s="33">
        <v>64</v>
      </c>
      <c r="L68" t="s" s="15">
        <v>10</v>
      </c>
      <c r="M68" s="34"/>
      <c r="N68" t="s" s="15">
        <v>10</v>
      </c>
      <c r="O68" s="34"/>
      <c r="P68" t="s" s="15">
        <v>10</v>
      </c>
      <c r="Q68" s="34"/>
      <c r="R68" t="s" s="15">
        <v>10</v>
      </c>
      <c r="S68" s="34"/>
      <c r="T68" t="s" s="15">
        <v>10</v>
      </c>
      <c r="U68" s="34"/>
      <c r="V68" t="s" s="15">
        <v>10</v>
      </c>
      <c r="W68" s="34"/>
      <c r="X68" t="s" s="15">
        <v>10</v>
      </c>
      <c r="Y68" s="34"/>
      <c r="Z68" t="s" s="15">
        <v>10</v>
      </c>
      <c r="AA68" s="34"/>
      <c r="AB68" t="s" s="15">
        <v>10</v>
      </c>
      <c r="AC68" s="34"/>
      <c r="AD68" s="180"/>
      <c r="AE68" s="177"/>
      <c r="AF68" s="7"/>
    </row>
    <row r="69" ht="13.75" customHeight="1">
      <c r="A69" s="189"/>
      <c r="B69" t="s" s="15">
        <v>345</v>
      </c>
      <c r="C69" s="23"/>
      <c r="D69" s="23"/>
      <c r="E69" t="s" s="15">
        <v>14</v>
      </c>
      <c r="F69" t="s" s="15">
        <v>6</v>
      </c>
      <c r="G69" s="16">
        <v>2025</v>
      </c>
      <c r="H69" t="s" s="15">
        <v>6</v>
      </c>
      <c r="I69" s="16">
        <v>2207</v>
      </c>
      <c r="J69" t="s" s="15">
        <v>6</v>
      </c>
      <c r="K69" s="40"/>
      <c r="L69" t="s" s="15">
        <v>6</v>
      </c>
      <c r="M69" s="18"/>
      <c r="N69" t="s" s="15">
        <v>6</v>
      </c>
      <c r="O69" s="18"/>
      <c r="P69" t="s" s="15">
        <v>6</v>
      </c>
      <c r="Q69" s="18"/>
      <c r="R69" t="s" s="15">
        <v>6</v>
      </c>
      <c r="S69" s="18"/>
      <c r="T69" t="s" s="15">
        <v>6</v>
      </c>
      <c r="U69" s="18"/>
      <c r="V69" t="s" s="15">
        <v>6</v>
      </c>
      <c r="W69" s="18"/>
      <c r="X69" t="s" s="15">
        <v>6</v>
      </c>
      <c r="Y69" s="18"/>
      <c r="Z69" t="s" s="15">
        <v>6</v>
      </c>
      <c r="AA69" s="18"/>
      <c r="AB69" t="s" s="15">
        <v>6</v>
      </c>
      <c r="AC69" s="18"/>
      <c r="AD69" s="180"/>
      <c r="AE69" s="177"/>
      <c r="AF69" s="7"/>
    </row>
    <row r="70" ht="13.55" customHeight="1">
      <c r="A70" s="189"/>
      <c r="B70" t="s" s="15">
        <v>346</v>
      </c>
      <c r="C70" s="23"/>
      <c r="D70" s="23"/>
      <c r="E70" s="23"/>
      <c r="F70" t="s" s="15">
        <v>8</v>
      </c>
      <c r="G70" s="26">
        <v>600</v>
      </c>
      <c r="H70" t="s" s="15">
        <v>8</v>
      </c>
      <c r="I70" s="26">
        <v>600</v>
      </c>
      <c r="J70" t="s" s="15">
        <v>8</v>
      </c>
      <c r="K70" s="41"/>
      <c r="L70" t="s" s="15">
        <v>8</v>
      </c>
      <c r="M70" s="27"/>
      <c r="N70" t="s" s="15">
        <v>8</v>
      </c>
      <c r="O70" s="27"/>
      <c r="P70" t="s" s="15">
        <v>8</v>
      </c>
      <c r="Q70" s="27"/>
      <c r="R70" t="s" s="15">
        <v>8</v>
      </c>
      <c r="S70" s="27"/>
      <c r="T70" t="s" s="15">
        <v>8</v>
      </c>
      <c r="U70" s="27"/>
      <c r="V70" t="s" s="15">
        <v>8</v>
      </c>
      <c r="W70" s="27"/>
      <c r="X70" t="s" s="15">
        <v>8</v>
      </c>
      <c r="Y70" s="27"/>
      <c r="Z70" t="s" s="15">
        <v>8</v>
      </c>
      <c r="AA70" s="27"/>
      <c r="AB70" t="s" s="15">
        <v>8</v>
      </c>
      <c r="AC70" s="27"/>
      <c r="AD70" s="180" cm="1">
        <f t="array" ref="AD70">G70+I70+K70+M70+O70+Q70+S70+U70+W70+Y70+AA70+AC70</f>
      </c>
      <c r="AE70" s="183" cm="1">
        <f t="array" ref="AE70">500*11</f>
        <v>5500</v>
      </c>
      <c r="AF70" s="7" cm="1">
        <f t="array" ref="AF70">AE70-AD70</f>
      </c>
    </row>
    <row r="71" ht="13.55" customHeight="1">
      <c r="A71" s="190"/>
      <c r="B71" s="23"/>
      <c r="C71" s="23"/>
      <c r="D71" s="23"/>
      <c r="E71" s="23"/>
      <c r="F71" t="s" s="15">
        <v>10</v>
      </c>
      <c r="G71" t="s" s="33">
        <v>17</v>
      </c>
      <c r="H71" t="s" s="15">
        <v>10</v>
      </c>
      <c r="I71" t="s" s="33">
        <v>64</v>
      </c>
      <c r="J71" t="s" s="15">
        <v>10</v>
      </c>
      <c r="K71" s="45"/>
      <c r="L71" t="s" s="15">
        <v>10</v>
      </c>
      <c r="M71" s="34"/>
      <c r="N71" t="s" s="15">
        <v>10</v>
      </c>
      <c r="O71" s="34"/>
      <c r="P71" t="s" s="15">
        <v>10</v>
      </c>
      <c r="Q71" s="34"/>
      <c r="R71" t="s" s="15">
        <v>10</v>
      </c>
      <c r="S71" s="34"/>
      <c r="T71" t="s" s="15">
        <v>10</v>
      </c>
      <c r="U71" s="34"/>
      <c r="V71" t="s" s="15">
        <v>10</v>
      </c>
      <c r="W71" s="34"/>
      <c r="X71" t="s" s="15">
        <v>10</v>
      </c>
      <c r="Y71" s="34"/>
      <c r="Z71" t="s" s="15">
        <v>10</v>
      </c>
      <c r="AA71" s="34"/>
      <c r="AB71" t="s" s="15">
        <v>10</v>
      </c>
      <c r="AC71" s="34"/>
      <c r="AD71" s="180"/>
      <c r="AE71" s="177"/>
      <c r="AF71" s="7"/>
    </row>
    <row r="72" ht="13.55" customHeight="1">
      <c r="A72" s="187"/>
      <c r="B72" s="23"/>
      <c r="C72" s="23"/>
      <c r="D72" s="23"/>
      <c r="E72" s="23"/>
      <c r="F72" s="23"/>
      <c r="G72" s="23"/>
      <c r="H72" s="23"/>
      <c r="I72" s="64"/>
      <c r="J72" s="23"/>
      <c r="K72" s="23"/>
      <c r="L72" s="23"/>
      <c r="M72" s="64"/>
      <c r="N72" s="23"/>
      <c r="O72" s="64"/>
      <c r="P72" s="23"/>
      <c r="Q72" s="64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80"/>
      <c r="AE72" s="177"/>
      <c r="AF72" s="7"/>
    </row>
    <row r="73" ht="13.75" customHeight="1">
      <c r="A73" s="188">
        <v>11</v>
      </c>
      <c r="B73" t="s" s="130">
        <v>347</v>
      </c>
      <c r="C73" s="23"/>
      <c r="D73" s="23"/>
      <c r="E73" t="s" s="15">
        <v>5</v>
      </c>
      <c r="F73" t="s" s="15">
        <v>6</v>
      </c>
      <c r="G73" s="192">
        <v>1204</v>
      </c>
      <c r="H73" t="s" s="15">
        <v>6</v>
      </c>
      <c r="I73" s="193"/>
      <c r="J73" t="s" s="15">
        <v>6</v>
      </c>
      <c r="K73" s="193"/>
      <c r="L73" t="s" s="15">
        <v>6</v>
      </c>
      <c r="M73" s="193"/>
      <c r="N73" t="s" s="15">
        <v>6</v>
      </c>
      <c r="O73" s="193"/>
      <c r="P73" t="s" s="15">
        <v>6</v>
      </c>
      <c r="Q73" s="193"/>
      <c r="R73" t="s" s="15">
        <v>6</v>
      </c>
      <c r="S73" s="193"/>
      <c r="T73" t="s" s="15">
        <v>6</v>
      </c>
      <c r="U73" s="193"/>
      <c r="V73" t="s" s="15">
        <v>6</v>
      </c>
      <c r="W73" s="193"/>
      <c r="X73" t="s" s="15">
        <v>6</v>
      </c>
      <c r="Y73" s="193"/>
      <c r="Z73" t="s" s="15">
        <v>6</v>
      </c>
      <c r="AA73" s="193"/>
      <c r="AB73" t="s" s="15">
        <v>6</v>
      </c>
      <c r="AC73" s="193"/>
      <c r="AD73" s="180"/>
      <c r="AE73" s="177"/>
      <c r="AF73" s="7"/>
    </row>
    <row r="74" ht="13.55" customHeight="1">
      <c r="A74" s="189"/>
      <c r="B74" s="23"/>
      <c r="C74" s="27"/>
      <c r="D74" s="27"/>
      <c r="E74" s="23"/>
      <c r="F74" t="s" s="15">
        <v>8</v>
      </c>
      <c r="G74" s="194">
        <v>500</v>
      </c>
      <c r="H74" t="s" s="15">
        <v>8</v>
      </c>
      <c r="I74" s="195"/>
      <c r="J74" t="s" s="15">
        <v>8</v>
      </c>
      <c r="K74" s="195"/>
      <c r="L74" t="s" s="15">
        <v>8</v>
      </c>
      <c r="M74" s="195"/>
      <c r="N74" t="s" s="15">
        <v>8</v>
      </c>
      <c r="O74" s="195"/>
      <c r="P74" t="s" s="15">
        <v>8</v>
      </c>
      <c r="Q74" s="195"/>
      <c r="R74" t="s" s="15">
        <v>8</v>
      </c>
      <c r="S74" s="195"/>
      <c r="T74" t="s" s="15">
        <v>8</v>
      </c>
      <c r="U74" s="195"/>
      <c r="V74" t="s" s="15">
        <v>8</v>
      </c>
      <c r="W74" s="195"/>
      <c r="X74" t="s" s="15">
        <v>8</v>
      </c>
      <c r="Y74" s="195"/>
      <c r="Z74" t="s" s="15">
        <v>8</v>
      </c>
      <c r="AA74" s="195"/>
      <c r="AB74" t="s" s="15">
        <v>8</v>
      </c>
      <c r="AC74" s="195"/>
      <c r="AD74" s="182" cm="1">
        <f t="array" ref="AD74">G74+I74+K74+M74+O74+Q74+S74+U74+W74+Y74+AA74+AC74</f>
        <v>500</v>
      </c>
      <c r="AE74" s="183" cm="1">
        <f t="array" ref="AE74">450*12</f>
        <v>5400</v>
      </c>
      <c r="AF74" s="51" cm="1">
        <f t="array" ref="AF74">AE74-AD74</f>
        <v>4900</v>
      </c>
    </row>
    <row r="75" ht="13.55" customHeight="1">
      <c r="A75" s="189"/>
      <c r="B75" t="s" s="144">
        <v>60</v>
      </c>
      <c r="C75" t="s" s="8">
        <v>9</v>
      </c>
      <c r="D75" s="26">
        <v>1000</v>
      </c>
      <c r="E75" s="23"/>
      <c r="F75" t="s" s="15">
        <v>10</v>
      </c>
      <c r="G75" t="s" s="33">
        <v>126</v>
      </c>
      <c r="H75" t="s" s="15">
        <v>10</v>
      </c>
      <c r="I75" s="34"/>
      <c r="J75" t="s" s="15">
        <v>10</v>
      </c>
      <c r="K75" s="34"/>
      <c r="L75" t="s" s="15">
        <v>10</v>
      </c>
      <c r="M75" s="34"/>
      <c r="N75" t="s" s="15">
        <v>10</v>
      </c>
      <c r="O75" s="34"/>
      <c r="P75" t="s" s="15">
        <v>10</v>
      </c>
      <c r="Q75" s="34"/>
      <c r="R75" t="s" s="15">
        <v>10</v>
      </c>
      <c r="S75" s="34"/>
      <c r="T75" t="s" s="15">
        <v>10</v>
      </c>
      <c r="U75" s="34"/>
      <c r="V75" t="s" s="15">
        <v>10</v>
      </c>
      <c r="W75" s="34"/>
      <c r="X75" t="s" s="15">
        <v>10</v>
      </c>
      <c r="Y75" s="34"/>
      <c r="Z75" t="s" s="15">
        <v>10</v>
      </c>
      <c r="AA75" s="34"/>
      <c r="AB75" t="s" s="15">
        <v>10</v>
      </c>
      <c r="AC75" s="34"/>
      <c r="AD75" s="180"/>
      <c r="AE75" s="177"/>
      <c r="AF75" s="7"/>
    </row>
    <row r="76" ht="13.75" customHeight="1">
      <c r="A76" s="189"/>
      <c r="B76" t="s" s="15">
        <v>348</v>
      </c>
      <c r="C76" s="23"/>
      <c r="D76" s="23"/>
      <c r="E76" t="s" s="15">
        <v>14</v>
      </c>
      <c r="F76" t="s" s="15">
        <v>6</v>
      </c>
      <c r="G76" s="192">
        <v>2112</v>
      </c>
      <c r="H76" t="s" s="15">
        <v>6</v>
      </c>
      <c r="I76" s="193"/>
      <c r="J76" t="s" s="15">
        <v>6</v>
      </c>
      <c r="K76" s="148"/>
      <c r="L76" t="s" s="15">
        <v>6</v>
      </c>
      <c r="M76" s="131"/>
      <c r="N76" t="s" s="15">
        <v>6</v>
      </c>
      <c r="O76" s="131"/>
      <c r="P76" t="s" s="15">
        <v>6</v>
      </c>
      <c r="Q76" s="193"/>
      <c r="R76" t="s" s="15">
        <v>6</v>
      </c>
      <c r="S76" s="193"/>
      <c r="T76" t="s" s="15">
        <v>6</v>
      </c>
      <c r="U76" s="193"/>
      <c r="V76" t="s" s="15">
        <v>6</v>
      </c>
      <c r="W76" s="193"/>
      <c r="X76" t="s" s="15">
        <v>6</v>
      </c>
      <c r="Y76" s="193"/>
      <c r="Z76" t="s" s="15">
        <v>6</v>
      </c>
      <c r="AA76" s="193"/>
      <c r="AB76" t="s" s="15">
        <v>6</v>
      </c>
      <c r="AC76" s="193"/>
      <c r="AD76" s="180"/>
      <c r="AE76" s="177"/>
      <c r="AF76" s="55"/>
    </row>
    <row r="77" ht="13.55" customHeight="1">
      <c r="A77" s="189"/>
      <c r="B77" t="s" s="15">
        <v>349</v>
      </c>
      <c r="C77" s="23"/>
      <c r="D77" s="23"/>
      <c r="E77" s="23"/>
      <c r="F77" t="s" s="15">
        <v>8</v>
      </c>
      <c r="G77" s="194">
        <v>600</v>
      </c>
      <c r="H77" t="s" s="15">
        <v>8</v>
      </c>
      <c r="I77" s="195"/>
      <c r="J77" t="s" s="15">
        <v>8</v>
      </c>
      <c r="K77" s="149"/>
      <c r="L77" t="s" s="15">
        <v>8</v>
      </c>
      <c r="M77" s="42"/>
      <c r="N77" t="s" s="15">
        <v>8</v>
      </c>
      <c r="O77" s="42"/>
      <c r="P77" t="s" s="15">
        <v>8</v>
      </c>
      <c r="Q77" s="195"/>
      <c r="R77" t="s" s="15">
        <v>8</v>
      </c>
      <c r="S77" s="195"/>
      <c r="T77" t="s" s="15">
        <v>8</v>
      </c>
      <c r="U77" s="195"/>
      <c r="V77" t="s" s="15">
        <v>8</v>
      </c>
      <c r="W77" s="195"/>
      <c r="X77" t="s" s="15">
        <v>8</v>
      </c>
      <c r="Y77" s="195"/>
      <c r="Z77" t="s" s="15">
        <v>8</v>
      </c>
      <c r="AA77" s="195"/>
      <c r="AB77" t="s" s="15">
        <v>8</v>
      </c>
      <c r="AC77" s="195"/>
      <c r="AD77" s="196" cm="1">
        <f t="array" ref="AD77">G77+I77+K77+M77+O77+Q77+S77+U77+W77+Y77+AA77+AC77</f>
      </c>
      <c r="AE77" s="197" cm="1">
        <f t="array" ref="AE77">500*11</f>
        <v>5500</v>
      </c>
      <c r="AF77" s="198" cm="1">
        <f t="array" ref="AF77">AE77-AD77</f>
      </c>
    </row>
    <row r="78" ht="13.55" customHeight="1">
      <c r="A78" s="190"/>
      <c r="B78" s="23"/>
      <c r="C78" s="23"/>
      <c r="D78" s="23"/>
      <c r="E78" s="23"/>
      <c r="F78" t="s" s="15">
        <v>10</v>
      </c>
      <c r="G78" t="s" s="33">
        <v>74</v>
      </c>
      <c r="H78" t="s" s="15">
        <v>10</v>
      </c>
      <c r="I78" s="34"/>
      <c r="J78" t="s" s="15">
        <v>10</v>
      </c>
      <c r="K78" s="150"/>
      <c r="L78" t="s" s="15">
        <v>10</v>
      </c>
      <c r="M78" s="34"/>
      <c r="N78" t="s" s="15">
        <v>10</v>
      </c>
      <c r="O78" s="34"/>
      <c r="P78" t="s" s="15">
        <v>10</v>
      </c>
      <c r="Q78" s="34"/>
      <c r="R78" t="s" s="15">
        <v>10</v>
      </c>
      <c r="S78" s="34"/>
      <c r="T78" t="s" s="15">
        <v>10</v>
      </c>
      <c r="U78" s="34"/>
      <c r="V78" t="s" s="15">
        <v>10</v>
      </c>
      <c r="W78" s="34"/>
      <c r="X78" t="s" s="15">
        <v>10</v>
      </c>
      <c r="Y78" s="34"/>
      <c r="Z78" t="s" s="15">
        <v>10</v>
      </c>
      <c r="AA78" s="34"/>
      <c r="AB78" t="s" s="15">
        <v>10</v>
      </c>
      <c r="AC78" s="34"/>
      <c r="AD78" s="180"/>
      <c r="AE78" s="177"/>
      <c r="AF78" s="60"/>
    </row>
    <row r="79" ht="13.55" customHeight="1">
      <c r="A79" s="187"/>
      <c r="B79" s="23"/>
      <c r="C79" s="23"/>
      <c r="D79" s="23"/>
      <c r="E79" s="23"/>
      <c r="F79" s="23"/>
      <c r="G79" s="23"/>
      <c r="H79" s="23"/>
      <c r="I79" s="191"/>
      <c r="J79" s="23"/>
      <c r="K79" s="23"/>
      <c r="L79" s="23"/>
      <c r="M79" s="191"/>
      <c r="N79" s="23"/>
      <c r="O79" s="191"/>
      <c r="P79" s="23"/>
      <c r="Q79" s="191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180"/>
      <c r="AE79" s="177"/>
      <c r="AF79" s="7"/>
    </row>
    <row r="80" ht="13.75" customHeight="1">
      <c r="A80" s="188">
        <v>12</v>
      </c>
      <c r="B80" t="s" s="130">
        <v>350</v>
      </c>
      <c r="C80" s="23"/>
      <c r="D80" s="23"/>
      <c r="E80" t="s" s="15">
        <v>5</v>
      </c>
      <c r="F80" t="s" s="15">
        <v>6</v>
      </c>
      <c r="G80" s="16">
        <v>1155</v>
      </c>
      <c r="H80" t="s" s="15">
        <v>6</v>
      </c>
      <c r="I80" s="16">
        <v>1249</v>
      </c>
      <c r="J80" t="s" s="15">
        <v>6</v>
      </c>
      <c r="K80" s="18"/>
      <c r="L80" t="s" s="15">
        <v>6</v>
      </c>
      <c r="M80" s="18"/>
      <c r="N80" t="s" s="15">
        <v>6</v>
      </c>
      <c r="O80" s="18"/>
      <c r="P80" t="s" s="15">
        <v>6</v>
      </c>
      <c r="Q80" s="18"/>
      <c r="R80" t="s" s="15">
        <v>6</v>
      </c>
      <c r="S80" s="18"/>
      <c r="T80" t="s" s="15">
        <v>6</v>
      </c>
      <c r="U80" s="18"/>
      <c r="V80" t="s" s="15">
        <v>6</v>
      </c>
      <c r="W80" s="18"/>
      <c r="X80" t="s" s="15">
        <v>6</v>
      </c>
      <c r="Y80" s="18"/>
      <c r="Z80" t="s" s="15">
        <v>6</v>
      </c>
      <c r="AA80" s="18"/>
      <c r="AB80" t="s" s="15">
        <v>6</v>
      </c>
      <c r="AC80" s="18"/>
      <c r="AD80" s="180"/>
      <c r="AE80" s="177"/>
      <c r="AF80" s="7"/>
    </row>
    <row r="81" ht="13.55" customHeight="1">
      <c r="A81" s="189"/>
      <c r="B81" s="56"/>
      <c r="C81" s="42"/>
      <c r="D81" s="42"/>
      <c r="E81" s="23"/>
      <c r="F81" t="s" s="15">
        <v>8</v>
      </c>
      <c r="G81" s="26">
        <v>1000</v>
      </c>
      <c r="H81" t="s" s="15">
        <v>8</v>
      </c>
      <c r="I81" s="26">
        <v>1000</v>
      </c>
      <c r="J81" t="s" s="15">
        <v>8</v>
      </c>
      <c r="K81" s="27"/>
      <c r="L81" t="s" s="15">
        <v>8</v>
      </c>
      <c r="M81" s="27"/>
      <c r="N81" t="s" s="15">
        <v>8</v>
      </c>
      <c r="O81" s="27"/>
      <c r="P81" t="s" s="15">
        <v>8</v>
      </c>
      <c r="Q81" s="27"/>
      <c r="R81" t="s" s="15">
        <v>8</v>
      </c>
      <c r="S81" s="27"/>
      <c r="T81" t="s" s="15">
        <v>8</v>
      </c>
      <c r="U81" s="27"/>
      <c r="V81" t="s" s="15">
        <v>8</v>
      </c>
      <c r="W81" s="27"/>
      <c r="X81" t="s" s="15">
        <v>8</v>
      </c>
      <c r="Y81" s="27"/>
      <c r="Z81" t="s" s="15">
        <v>8</v>
      </c>
      <c r="AA81" s="27"/>
      <c r="AB81" t="s" s="15">
        <v>8</v>
      </c>
      <c r="AC81" s="27"/>
      <c r="AD81" s="182" cm="1">
        <f t="array" ref="AD81">G81+I81+K81+M81+O81+Q81+S81+U81+W81+Y81+AA81+AC81</f>
        <v>2000</v>
      </c>
      <c r="AE81" s="183" cm="1">
        <f t="array" ref="AE81">900*12</f>
        <v>10800</v>
      </c>
      <c r="AF81" s="51" cm="1">
        <f t="array" ref="AF81">AE81-AD81</f>
        <v>8800</v>
      </c>
    </row>
    <row r="82" ht="13.55" customHeight="1">
      <c r="A82" s="189"/>
      <c r="B82" s="23"/>
      <c r="C82" t="s" s="8">
        <v>9</v>
      </c>
      <c r="D82" s="25">
        <v>1000</v>
      </c>
      <c r="E82" s="23"/>
      <c r="F82" t="s" s="15">
        <v>10</v>
      </c>
      <c r="G82" t="s" s="33">
        <v>70</v>
      </c>
      <c r="H82" t="s" s="15">
        <v>10</v>
      </c>
      <c r="I82" t="s" s="33">
        <v>323</v>
      </c>
      <c r="J82" t="s" s="15">
        <v>10</v>
      </c>
      <c r="K82" s="34"/>
      <c r="L82" t="s" s="15">
        <v>10</v>
      </c>
      <c r="M82" s="34"/>
      <c r="N82" t="s" s="15">
        <v>10</v>
      </c>
      <c r="O82" s="34"/>
      <c r="P82" t="s" s="15">
        <v>10</v>
      </c>
      <c r="Q82" s="34"/>
      <c r="R82" t="s" s="15">
        <v>10</v>
      </c>
      <c r="S82" s="34"/>
      <c r="T82" t="s" s="15">
        <v>10</v>
      </c>
      <c r="U82" s="34"/>
      <c r="V82" t="s" s="15">
        <v>10</v>
      </c>
      <c r="W82" s="34"/>
      <c r="X82" t="s" s="15">
        <v>10</v>
      </c>
      <c r="Y82" s="34"/>
      <c r="Z82" t="s" s="15">
        <v>10</v>
      </c>
      <c r="AA82" s="34"/>
      <c r="AB82" t="s" s="15">
        <v>10</v>
      </c>
      <c r="AC82" s="34"/>
      <c r="AD82" s="180"/>
      <c r="AE82" s="177"/>
      <c r="AF82" s="7"/>
    </row>
    <row r="83" ht="13.75" customHeight="1">
      <c r="A83" s="189"/>
      <c r="B83" t="s" s="15">
        <v>351</v>
      </c>
      <c r="C83" s="23"/>
      <c r="D83" s="23"/>
      <c r="E83" t="s" s="15">
        <v>14</v>
      </c>
      <c r="F83" t="s" s="15">
        <v>6</v>
      </c>
      <c r="G83" s="16">
        <v>2071</v>
      </c>
      <c r="H83" t="s" s="15">
        <v>6</v>
      </c>
      <c r="I83" s="18"/>
      <c r="J83" t="s" s="15">
        <v>6</v>
      </c>
      <c r="K83" s="40"/>
      <c r="L83" t="s" s="15">
        <v>6</v>
      </c>
      <c r="M83" s="18"/>
      <c r="N83" t="s" s="15">
        <v>6</v>
      </c>
      <c r="O83" s="18"/>
      <c r="P83" t="s" s="15">
        <v>6</v>
      </c>
      <c r="Q83" s="18"/>
      <c r="R83" t="s" s="15">
        <v>6</v>
      </c>
      <c r="S83" s="18"/>
      <c r="T83" t="s" s="15">
        <v>6</v>
      </c>
      <c r="U83" s="18"/>
      <c r="V83" t="s" s="15">
        <v>6</v>
      </c>
      <c r="W83" s="18"/>
      <c r="X83" t="s" s="15">
        <v>6</v>
      </c>
      <c r="Y83" s="18"/>
      <c r="Z83" t="s" s="15">
        <v>6</v>
      </c>
      <c r="AA83" s="18"/>
      <c r="AB83" t="s" s="15">
        <v>6</v>
      </c>
      <c r="AC83" s="18"/>
      <c r="AD83" s="180"/>
      <c r="AE83" s="177"/>
      <c r="AF83" s="7"/>
    </row>
    <row r="84" ht="13.55" customHeight="1">
      <c r="A84" s="189"/>
      <c r="B84" t="s" s="15">
        <v>352</v>
      </c>
      <c r="C84" s="23"/>
      <c r="D84" s="23"/>
      <c r="E84" s="23"/>
      <c r="F84" t="s" s="15">
        <v>8</v>
      </c>
      <c r="G84" s="26">
        <v>800</v>
      </c>
      <c r="H84" t="s" s="15">
        <v>8</v>
      </c>
      <c r="I84" s="27"/>
      <c r="J84" t="s" s="15">
        <v>8</v>
      </c>
      <c r="K84" s="41"/>
      <c r="L84" t="s" s="15">
        <v>8</v>
      </c>
      <c r="M84" s="27"/>
      <c r="N84" t="s" s="15">
        <v>8</v>
      </c>
      <c r="O84" s="27"/>
      <c r="P84" t="s" s="15">
        <v>8</v>
      </c>
      <c r="Q84" s="27"/>
      <c r="R84" t="s" s="15">
        <v>8</v>
      </c>
      <c r="S84" s="27"/>
      <c r="T84" t="s" s="15">
        <v>8</v>
      </c>
      <c r="U84" s="27"/>
      <c r="V84" t="s" s="15">
        <v>8</v>
      </c>
      <c r="W84" s="27"/>
      <c r="X84" t="s" s="15">
        <v>8</v>
      </c>
      <c r="Y84" s="27"/>
      <c r="Z84" t="s" s="15">
        <v>8</v>
      </c>
      <c r="AA84" s="27"/>
      <c r="AB84" t="s" s="15">
        <v>8</v>
      </c>
      <c r="AC84" s="27"/>
      <c r="AD84" s="180" cm="1">
        <f t="array" ref="AD84">G84+I84+K84+M84+O84+Q84+S84+U84+W84+Y84+AA84+AC84</f>
      </c>
      <c r="AE84" s="183" cm="1">
        <f t="array" ref="AE84">700*11</f>
        <v>7700</v>
      </c>
      <c r="AF84" s="7" cm="1">
        <f t="array" ref="AF84">AE84-AD84</f>
      </c>
    </row>
    <row r="85" ht="13.55" customHeight="1">
      <c r="A85" s="190"/>
      <c r="B85" s="23"/>
      <c r="C85" s="23"/>
      <c r="D85" s="23"/>
      <c r="E85" s="23"/>
      <c r="F85" t="s" s="15">
        <v>10</v>
      </c>
      <c r="G85" t="s" s="33">
        <v>70</v>
      </c>
      <c r="H85" t="s" s="15">
        <v>10</v>
      </c>
      <c r="I85" s="34"/>
      <c r="J85" t="s" s="15">
        <v>10</v>
      </c>
      <c r="K85" s="45"/>
      <c r="L85" t="s" s="15">
        <v>10</v>
      </c>
      <c r="M85" s="34"/>
      <c r="N85" t="s" s="15">
        <v>10</v>
      </c>
      <c r="O85" s="34"/>
      <c r="P85" t="s" s="15">
        <v>10</v>
      </c>
      <c r="Q85" s="34"/>
      <c r="R85" t="s" s="15">
        <v>10</v>
      </c>
      <c r="S85" s="34"/>
      <c r="T85" t="s" s="15">
        <v>10</v>
      </c>
      <c r="U85" s="34"/>
      <c r="V85" t="s" s="15">
        <v>10</v>
      </c>
      <c r="W85" s="34"/>
      <c r="X85" t="s" s="15">
        <v>10</v>
      </c>
      <c r="Y85" s="34"/>
      <c r="Z85" t="s" s="15">
        <v>10</v>
      </c>
      <c r="AA85" s="34"/>
      <c r="AB85" t="s" s="15">
        <v>10</v>
      </c>
      <c r="AC85" s="34"/>
      <c r="AD85" s="180"/>
      <c r="AE85" s="177"/>
      <c r="AF85" s="7"/>
    </row>
    <row r="86" ht="13.55" customHeight="1">
      <c r="A86" s="187"/>
      <c r="B86" s="23"/>
      <c r="C86" s="23"/>
      <c r="D86" s="23"/>
      <c r="E86" s="23"/>
      <c r="F86" s="23"/>
      <c r="G86" s="64"/>
      <c r="H86" s="23"/>
      <c r="I86" s="64"/>
      <c r="J86" s="23"/>
      <c r="K86" s="23"/>
      <c r="L86" s="23"/>
      <c r="M86" s="64"/>
      <c r="N86" s="23"/>
      <c r="O86" s="64"/>
      <c r="P86" s="23"/>
      <c r="Q86" s="6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180"/>
      <c r="AE86" s="177"/>
      <c r="AF86" s="7"/>
    </row>
    <row r="87" ht="13.75" customHeight="1">
      <c r="A87" s="188">
        <v>13</v>
      </c>
      <c r="B87" t="s" s="130">
        <v>353</v>
      </c>
      <c r="C87" s="23"/>
      <c r="D87" s="23"/>
      <c r="E87" t="s" s="15">
        <v>5</v>
      </c>
      <c r="F87" t="s" s="15">
        <v>6</v>
      </c>
      <c r="G87" s="16">
        <v>1234</v>
      </c>
      <c r="H87" t="s" s="15">
        <v>6</v>
      </c>
      <c r="I87" s="16">
        <v>1234</v>
      </c>
      <c r="J87" t="s" s="15">
        <v>6</v>
      </c>
      <c r="K87" s="16">
        <v>1234</v>
      </c>
      <c r="L87" t="s" s="15">
        <v>6</v>
      </c>
      <c r="M87" s="18"/>
      <c r="N87" t="s" s="15">
        <v>6</v>
      </c>
      <c r="O87" s="18"/>
      <c r="P87" t="s" s="15">
        <v>6</v>
      </c>
      <c r="Q87" s="18"/>
      <c r="R87" t="s" s="15">
        <v>6</v>
      </c>
      <c r="S87" s="18"/>
      <c r="T87" t="s" s="15">
        <v>6</v>
      </c>
      <c r="U87" s="18"/>
      <c r="V87" t="s" s="15">
        <v>6</v>
      </c>
      <c r="W87" s="18"/>
      <c r="X87" t="s" s="15">
        <v>6</v>
      </c>
      <c r="Y87" s="18"/>
      <c r="Z87" t="s" s="15">
        <v>6</v>
      </c>
      <c r="AA87" s="18"/>
      <c r="AB87" t="s" s="15">
        <v>6</v>
      </c>
      <c r="AC87" s="18"/>
      <c r="AD87" s="180"/>
      <c r="AE87" s="177"/>
      <c r="AF87" s="7"/>
    </row>
    <row r="88" ht="13.55" customHeight="1">
      <c r="A88" s="189"/>
      <c r="B88" s="23"/>
      <c r="C88" s="42"/>
      <c r="D88" s="42"/>
      <c r="E88" s="23"/>
      <c r="F88" t="s" s="15">
        <v>8</v>
      </c>
      <c r="G88" s="26">
        <v>1000</v>
      </c>
      <c r="H88" t="s" s="15">
        <v>8</v>
      </c>
      <c r="I88" s="26">
        <v>1000</v>
      </c>
      <c r="J88" t="s" s="15">
        <v>8</v>
      </c>
      <c r="K88" s="26">
        <v>1000</v>
      </c>
      <c r="L88" t="s" s="15">
        <v>8</v>
      </c>
      <c r="M88" s="27"/>
      <c r="N88" t="s" s="15">
        <v>8</v>
      </c>
      <c r="O88" s="27"/>
      <c r="P88" t="s" s="15">
        <v>8</v>
      </c>
      <c r="Q88" s="27"/>
      <c r="R88" t="s" s="15">
        <v>8</v>
      </c>
      <c r="S88" s="27"/>
      <c r="T88" t="s" s="15">
        <v>8</v>
      </c>
      <c r="U88" s="27"/>
      <c r="V88" t="s" s="15">
        <v>8</v>
      </c>
      <c r="W88" s="27"/>
      <c r="X88" t="s" s="15">
        <v>8</v>
      </c>
      <c r="Y88" s="27"/>
      <c r="Z88" t="s" s="15">
        <v>8</v>
      </c>
      <c r="AA88" s="27"/>
      <c r="AB88" t="s" s="15">
        <v>8</v>
      </c>
      <c r="AC88" s="27"/>
      <c r="AD88" s="182" cm="1">
        <f t="array" ref="AD88">G88+I88+K88+M88+O88+Q88+S88+U88+W88+Y88+AA88+AC88</f>
        <v>3000</v>
      </c>
      <c r="AE88" s="183" cm="1">
        <f t="array" ref="AE88">900*12</f>
        <v>10800</v>
      </c>
      <c r="AF88" s="51" cm="1">
        <f t="array" ref="AF88">AE88-AD88</f>
        <v>7800</v>
      </c>
    </row>
    <row r="89" ht="13.55" customHeight="1">
      <c r="A89" s="189"/>
      <c r="B89" s="23"/>
      <c r="C89" t="s" s="8">
        <v>9</v>
      </c>
      <c r="D89" s="25">
        <v>1000</v>
      </c>
      <c r="E89" s="23"/>
      <c r="F89" t="s" s="15">
        <v>10</v>
      </c>
      <c r="G89" t="s" s="33">
        <v>338</v>
      </c>
      <c r="H89" t="s" s="15">
        <v>10</v>
      </c>
      <c r="I89" t="s" s="33">
        <v>338</v>
      </c>
      <c r="J89" t="s" s="15">
        <v>10</v>
      </c>
      <c r="K89" t="s" s="33">
        <v>338</v>
      </c>
      <c r="L89" t="s" s="15">
        <v>10</v>
      </c>
      <c r="M89" s="34"/>
      <c r="N89" t="s" s="15">
        <v>10</v>
      </c>
      <c r="O89" s="34"/>
      <c r="P89" t="s" s="15">
        <v>10</v>
      </c>
      <c r="Q89" s="34"/>
      <c r="R89" t="s" s="15">
        <v>10</v>
      </c>
      <c r="S89" s="34"/>
      <c r="T89" t="s" s="15">
        <v>10</v>
      </c>
      <c r="U89" s="34"/>
      <c r="V89" t="s" s="15">
        <v>10</v>
      </c>
      <c r="W89" s="34"/>
      <c r="X89" t="s" s="15">
        <v>10</v>
      </c>
      <c r="Y89" s="34"/>
      <c r="Z89" t="s" s="15">
        <v>10</v>
      </c>
      <c r="AA89" s="34"/>
      <c r="AB89" t="s" s="15">
        <v>10</v>
      </c>
      <c r="AC89" s="34"/>
      <c r="AD89" s="180"/>
      <c r="AE89" s="177"/>
      <c r="AF89" s="7"/>
    </row>
    <row r="90" ht="13.75" customHeight="1">
      <c r="A90" s="189"/>
      <c r="B90" t="s" s="15">
        <v>354</v>
      </c>
      <c r="C90" s="23"/>
      <c r="D90" s="23"/>
      <c r="E90" t="s" s="15">
        <v>14</v>
      </c>
      <c r="F90" t="s" s="15">
        <v>6</v>
      </c>
      <c r="G90" s="18"/>
      <c r="H90" t="s" s="15">
        <v>6</v>
      </c>
      <c r="I90" s="16">
        <v>2132</v>
      </c>
      <c r="J90" t="s" s="15">
        <v>6</v>
      </c>
      <c r="K90" s="148"/>
      <c r="L90" t="s" s="15">
        <v>6</v>
      </c>
      <c r="M90" s="18"/>
      <c r="N90" t="s" s="15">
        <v>6</v>
      </c>
      <c r="O90" s="18"/>
      <c r="P90" t="s" s="15">
        <v>6</v>
      </c>
      <c r="Q90" s="18"/>
      <c r="R90" t="s" s="15">
        <v>6</v>
      </c>
      <c r="S90" s="18"/>
      <c r="T90" t="s" s="15">
        <v>6</v>
      </c>
      <c r="U90" s="18"/>
      <c r="V90" t="s" s="15">
        <v>6</v>
      </c>
      <c r="W90" s="18"/>
      <c r="X90" t="s" s="15">
        <v>6</v>
      </c>
      <c r="Y90" s="18"/>
      <c r="Z90" t="s" s="15">
        <v>6</v>
      </c>
      <c r="AA90" s="18"/>
      <c r="AB90" t="s" s="15">
        <v>6</v>
      </c>
      <c r="AC90" s="18"/>
      <c r="AD90" s="180"/>
      <c r="AE90" s="177"/>
      <c r="AF90" s="7"/>
    </row>
    <row r="91" ht="13.55" customHeight="1">
      <c r="A91" s="189"/>
      <c r="B91" t="s" s="15">
        <v>355</v>
      </c>
      <c r="C91" s="23"/>
      <c r="D91" s="23"/>
      <c r="E91" s="23"/>
      <c r="F91" t="s" s="15">
        <v>8</v>
      </c>
      <c r="G91" s="27"/>
      <c r="H91" t="s" s="15">
        <v>8</v>
      </c>
      <c r="I91" s="26">
        <v>600</v>
      </c>
      <c r="J91" t="s" s="15">
        <v>8</v>
      </c>
      <c r="K91" s="149"/>
      <c r="L91" t="s" s="15">
        <v>8</v>
      </c>
      <c r="M91" s="27"/>
      <c r="N91" t="s" s="15">
        <v>8</v>
      </c>
      <c r="O91" s="27"/>
      <c r="P91" t="s" s="15">
        <v>8</v>
      </c>
      <c r="Q91" s="27"/>
      <c r="R91" t="s" s="15">
        <v>8</v>
      </c>
      <c r="S91" s="27"/>
      <c r="T91" t="s" s="15">
        <v>8</v>
      </c>
      <c r="U91" s="27"/>
      <c r="V91" t="s" s="15">
        <v>8</v>
      </c>
      <c r="W91" s="27"/>
      <c r="X91" t="s" s="15">
        <v>8</v>
      </c>
      <c r="Y91" s="27"/>
      <c r="Z91" t="s" s="15">
        <v>8</v>
      </c>
      <c r="AA91" s="27"/>
      <c r="AB91" t="s" s="15">
        <v>8</v>
      </c>
      <c r="AC91" s="27"/>
      <c r="AD91" s="180" cm="1">
        <f t="array" ref="AD91">G91+I91+K91+M91+O91+Q91+S91+U91+W91+Y91+AA91+AC91</f>
      </c>
      <c r="AE91" s="183" cm="1">
        <f t="array" ref="AE91">500*11</f>
        <v>5500</v>
      </c>
      <c r="AF91" s="7" cm="1">
        <f t="array" ref="AF91">AE91-AD91</f>
      </c>
    </row>
    <row r="92" ht="13.55" customHeight="1">
      <c r="A92" s="190"/>
      <c r="B92" s="23"/>
      <c r="C92" s="23"/>
      <c r="D92" s="23"/>
      <c r="E92" s="23"/>
      <c r="F92" t="s" s="15">
        <v>10</v>
      </c>
      <c r="G92" s="34"/>
      <c r="H92" t="s" s="15">
        <v>10</v>
      </c>
      <c r="I92" t="s" s="33">
        <v>338</v>
      </c>
      <c r="J92" t="s" s="15">
        <v>10</v>
      </c>
      <c r="K92" s="150"/>
      <c r="L92" t="s" s="15">
        <v>10</v>
      </c>
      <c r="M92" s="34"/>
      <c r="N92" t="s" s="15">
        <v>10</v>
      </c>
      <c r="O92" s="34"/>
      <c r="P92" t="s" s="15">
        <v>10</v>
      </c>
      <c r="Q92" s="34"/>
      <c r="R92" t="s" s="15">
        <v>10</v>
      </c>
      <c r="S92" s="34"/>
      <c r="T92" t="s" s="15">
        <v>10</v>
      </c>
      <c r="U92" s="34"/>
      <c r="V92" t="s" s="15">
        <v>10</v>
      </c>
      <c r="W92" s="34"/>
      <c r="X92" t="s" s="15">
        <v>10</v>
      </c>
      <c r="Y92" s="34"/>
      <c r="Z92" t="s" s="15">
        <v>10</v>
      </c>
      <c r="AA92" s="34"/>
      <c r="AB92" t="s" s="15">
        <v>10</v>
      </c>
      <c r="AC92" s="34"/>
      <c r="AD92" s="180"/>
      <c r="AE92" s="177"/>
      <c r="AF92" s="7"/>
    </row>
    <row r="93" ht="13.55" customHeight="1">
      <c r="A93" s="187"/>
      <c r="B93" s="23"/>
      <c r="C93" s="23"/>
      <c r="D93" s="23"/>
      <c r="E93" s="23"/>
      <c r="F93" s="23"/>
      <c r="G93" s="64"/>
      <c r="H93" s="23"/>
      <c r="I93" s="64"/>
      <c r="J93" s="23"/>
      <c r="K93" s="23"/>
      <c r="L93" s="23"/>
      <c r="M93" s="64"/>
      <c r="N93" s="23"/>
      <c r="O93" s="64"/>
      <c r="P93" s="23"/>
      <c r="Q93" s="64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180"/>
      <c r="AE93" s="177"/>
      <c r="AF93" s="7"/>
    </row>
    <row r="94" ht="13.75" customHeight="1">
      <c r="A94" s="188">
        <v>14</v>
      </c>
      <c r="B94" t="s" s="130">
        <v>356</v>
      </c>
      <c r="C94" s="23"/>
      <c r="D94" s="23"/>
      <c r="E94" t="s" s="15">
        <v>5</v>
      </c>
      <c r="F94" t="s" s="15">
        <v>6</v>
      </c>
      <c r="G94" s="18"/>
      <c r="H94" t="s" s="15">
        <v>6</v>
      </c>
      <c r="I94" s="18"/>
      <c r="J94" t="s" s="15">
        <v>6</v>
      </c>
      <c r="K94" s="18"/>
      <c r="L94" t="s" s="15">
        <v>6</v>
      </c>
      <c r="M94" s="18"/>
      <c r="N94" t="s" s="15">
        <v>6</v>
      </c>
      <c r="O94" s="18"/>
      <c r="P94" t="s" s="15">
        <v>6</v>
      </c>
      <c r="Q94" s="18"/>
      <c r="R94" t="s" s="15">
        <v>6</v>
      </c>
      <c r="S94" s="18"/>
      <c r="T94" t="s" s="15">
        <v>6</v>
      </c>
      <c r="U94" s="18"/>
      <c r="V94" t="s" s="15">
        <v>6</v>
      </c>
      <c r="W94" s="18"/>
      <c r="X94" t="s" s="15">
        <v>6</v>
      </c>
      <c r="Y94" s="18"/>
      <c r="Z94" t="s" s="15">
        <v>6</v>
      </c>
      <c r="AA94" s="18"/>
      <c r="AB94" t="s" s="15">
        <v>6</v>
      </c>
      <c r="AC94" s="23"/>
      <c r="AD94" s="180"/>
      <c r="AE94" s="177"/>
      <c r="AF94" s="7"/>
    </row>
    <row r="95" ht="13.55" customHeight="1">
      <c r="A95" s="189"/>
      <c r="B95" s="23"/>
      <c r="C95" s="42"/>
      <c r="D95" s="42"/>
      <c r="E95" s="185"/>
      <c r="F95" t="s" s="15">
        <v>8</v>
      </c>
      <c r="G95" s="27"/>
      <c r="H95" t="s" s="15">
        <v>8</v>
      </c>
      <c r="I95" s="27"/>
      <c r="J95" t="s" s="15">
        <v>8</v>
      </c>
      <c r="K95" s="27"/>
      <c r="L95" t="s" s="15">
        <v>8</v>
      </c>
      <c r="M95" s="27"/>
      <c r="N95" t="s" s="15">
        <v>8</v>
      </c>
      <c r="O95" s="27"/>
      <c r="P95" t="s" s="15">
        <v>8</v>
      </c>
      <c r="Q95" s="27"/>
      <c r="R95" t="s" s="15">
        <v>8</v>
      </c>
      <c r="S95" s="27"/>
      <c r="T95" t="s" s="15">
        <v>8</v>
      </c>
      <c r="U95" s="27"/>
      <c r="V95" t="s" s="15">
        <v>8</v>
      </c>
      <c r="W95" s="27"/>
      <c r="X95" t="s" s="15">
        <v>8</v>
      </c>
      <c r="Y95" s="27"/>
      <c r="Z95" t="s" s="15">
        <v>8</v>
      </c>
      <c r="AA95" s="27"/>
      <c r="AB95" t="s" s="15">
        <v>8</v>
      </c>
      <c r="AC95" s="23"/>
      <c r="AD95" s="182" cm="1">
        <f t="array" ref="AD95">G95+I95+K95+M95+O95+Q95+S95+U95+W95+Y95+AA95+AC95</f>
        <v>0</v>
      </c>
      <c r="AE95" s="183" cm="1">
        <f t="array" ref="AE95">450*12</f>
        <v>5400</v>
      </c>
      <c r="AF95" s="51" cm="1">
        <f t="array" ref="AF95">AE95-AD95</f>
        <v>5400</v>
      </c>
    </row>
    <row r="96" ht="13.55" customHeight="1">
      <c r="A96" s="189"/>
      <c r="B96" t="s" s="144">
        <v>60</v>
      </c>
      <c r="C96" t="s" s="8">
        <v>9</v>
      </c>
      <c r="D96" s="42"/>
      <c r="E96" t="s" s="199">
        <v>357</v>
      </c>
      <c r="F96" t="s" s="15">
        <v>10</v>
      </c>
      <c r="G96" s="34"/>
      <c r="H96" t="s" s="15">
        <v>10</v>
      </c>
      <c r="I96" s="34"/>
      <c r="J96" t="s" s="15">
        <v>10</v>
      </c>
      <c r="K96" s="34"/>
      <c r="L96" t="s" s="15">
        <v>10</v>
      </c>
      <c r="M96" s="34"/>
      <c r="N96" t="s" s="15">
        <v>10</v>
      </c>
      <c r="O96" s="34"/>
      <c r="P96" t="s" s="15">
        <v>10</v>
      </c>
      <c r="Q96" s="34"/>
      <c r="R96" t="s" s="15">
        <v>10</v>
      </c>
      <c r="S96" s="34"/>
      <c r="T96" t="s" s="15">
        <v>10</v>
      </c>
      <c r="U96" s="34"/>
      <c r="V96" t="s" s="15">
        <v>10</v>
      </c>
      <c r="W96" s="34"/>
      <c r="X96" t="s" s="15">
        <v>10</v>
      </c>
      <c r="Y96" s="34"/>
      <c r="Z96" t="s" s="15">
        <v>10</v>
      </c>
      <c r="AA96" s="34"/>
      <c r="AB96" t="s" s="15">
        <v>10</v>
      </c>
      <c r="AC96" s="23"/>
      <c r="AD96" s="180"/>
      <c r="AE96" s="177"/>
      <c r="AF96" s="7"/>
    </row>
    <row r="97" ht="13.55" customHeight="1">
      <c r="A97" s="189"/>
      <c r="B97" t="s" s="15">
        <v>358</v>
      </c>
      <c r="C97" s="23"/>
      <c r="D97" s="23"/>
      <c r="E97" t="s" s="15">
        <v>14</v>
      </c>
      <c r="F97" t="s" s="15">
        <v>6</v>
      </c>
      <c r="G97" s="131"/>
      <c r="H97" t="s" s="15">
        <v>6</v>
      </c>
      <c r="I97" s="131"/>
      <c r="J97" t="s" s="15">
        <v>6</v>
      </c>
      <c r="K97" s="23"/>
      <c r="L97" t="s" s="15">
        <v>6</v>
      </c>
      <c r="M97" s="131"/>
      <c r="N97" t="s" s="15">
        <v>6</v>
      </c>
      <c r="O97" s="131"/>
      <c r="P97" t="s" s="15">
        <v>6</v>
      </c>
      <c r="Q97" s="131"/>
      <c r="R97" t="s" s="15">
        <v>6</v>
      </c>
      <c r="S97" s="23"/>
      <c r="T97" t="s" s="15">
        <v>6</v>
      </c>
      <c r="U97" s="23"/>
      <c r="V97" t="s" s="15">
        <v>6</v>
      </c>
      <c r="W97" s="23"/>
      <c r="X97" t="s" s="15">
        <v>6</v>
      </c>
      <c r="Y97" s="23"/>
      <c r="Z97" t="s" s="15">
        <v>6</v>
      </c>
      <c r="AA97" s="23"/>
      <c r="AB97" t="s" s="15">
        <v>6</v>
      </c>
      <c r="AC97" s="23"/>
      <c r="AD97" s="180"/>
      <c r="AE97" s="177"/>
      <c r="AF97" s="7"/>
    </row>
    <row r="98" ht="13.55" customHeight="1">
      <c r="A98" s="189"/>
      <c r="B98" t="s" s="15">
        <v>359</v>
      </c>
      <c r="C98" s="23"/>
      <c r="D98" s="23"/>
      <c r="E98" s="23"/>
      <c r="F98" t="s" s="15">
        <v>8</v>
      </c>
      <c r="G98" s="27"/>
      <c r="H98" t="s" s="15">
        <v>8</v>
      </c>
      <c r="I98" s="27"/>
      <c r="J98" t="s" s="15">
        <v>8</v>
      </c>
      <c r="K98" s="23"/>
      <c r="L98" t="s" s="15">
        <v>8</v>
      </c>
      <c r="M98" s="23"/>
      <c r="N98" t="s" s="15">
        <v>8</v>
      </c>
      <c r="O98" s="27"/>
      <c r="P98" t="s" s="15">
        <v>8</v>
      </c>
      <c r="Q98" s="27"/>
      <c r="R98" t="s" s="15">
        <v>8</v>
      </c>
      <c r="S98" s="23"/>
      <c r="T98" t="s" s="15">
        <v>8</v>
      </c>
      <c r="U98" s="23"/>
      <c r="V98" t="s" s="15">
        <v>8</v>
      </c>
      <c r="W98" s="23"/>
      <c r="X98" t="s" s="15">
        <v>8</v>
      </c>
      <c r="Y98" s="23"/>
      <c r="Z98" t="s" s="15">
        <v>8</v>
      </c>
      <c r="AA98" s="23"/>
      <c r="AB98" t="s" s="15">
        <v>8</v>
      </c>
      <c r="AC98" s="23"/>
      <c r="AD98" s="182" cm="1">
        <f t="array" ref="AD98">G98+I98+K98+M98+O98+Q98+S98+U98+W98+Y98+AA98+AC98</f>
        <v>0</v>
      </c>
      <c r="AE98" s="177"/>
      <c r="AF98" s="7"/>
    </row>
    <row r="99" ht="13.55" customHeight="1">
      <c r="A99" s="190"/>
      <c r="B99" s="23"/>
      <c r="C99" s="23"/>
      <c r="D99" s="23"/>
      <c r="E99" s="23"/>
      <c r="F99" t="s" s="15">
        <v>10</v>
      </c>
      <c r="G99" s="64"/>
      <c r="H99" t="s" s="15">
        <v>10</v>
      </c>
      <c r="I99" s="64"/>
      <c r="J99" t="s" s="15">
        <v>10</v>
      </c>
      <c r="K99" s="23"/>
      <c r="L99" t="s" s="15">
        <v>10</v>
      </c>
      <c r="M99" s="64"/>
      <c r="N99" t="s" s="15">
        <v>10</v>
      </c>
      <c r="O99" s="64"/>
      <c r="P99" t="s" s="15">
        <v>10</v>
      </c>
      <c r="Q99" s="64"/>
      <c r="R99" t="s" s="15">
        <v>10</v>
      </c>
      <c r="S99" s="23"/>
      <c r="T99" t="s" s="15">
        <v>10</v>
      </c>
      <c r="U99" s="23"/>
      <c r="V99" t="s" s="15">
        <v>10</v>
      </c>
      <c r="W99" s="23"/>
      <c r="X99" t="s" s="15">
        <v>10</v>
      </c>
      <c r="Y99" s="23"/>
      <c r="Z99" t="s" s="15">
        <v>10</v>
      </c>
      <c r="AA99" s="23"/>
      <c r="AB99" t="s" s="15">
        <v>10</v>
      </c>
      <c r="AC99" s="23"/>
      <c r="AD99" s="180"/>
      <c r="AE99" s="177"/>
      <c r="AF99" s="7"/>
    </row>
    <row r="100" ht="13.55" customHeight="1">
      <c r="A100" s="187"/>
      <c r="B100" s="23"/>
      <c r="C100" s="23"/>
      <c r="D100" s="23"/>
      <c r="E100" s="23"/>
      <c r="F100" s="23"/>
      <c r="G100" s="64"/>
      <c r="H100" s="23"/>
      <c r="I100" s="64"/>
      <c r="J100" s="23"/>
      <c r="K100" s="23"/>
      <c r="L100" s="23"/>
      <c r="M100" s="64"/>
      <c r="N100" s="23"/>
      <c r="O100" s="64"/>
      <c r="P100" s="23"/>
      <c r="Q100" s="64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180"/>
      <c r="AE100" s="177"/>
      <c r="AF100" s="7"/>
    </row>
    <row r="101" ht="13.75" customHeight="1">
      <c r="A101" s="200">
        <v>15</v>
      </c>
      <c r="B101" t="s" s="130">
        <v>360</v>
      </c>
      <c r="C101" s="23"/>
      <c r="D101" s="23"/>
      <c r="E101" t="s" s="15">
        <v>5</v>
      </c>
      <c r="F101" t="s" s="15">
        <v>6</v>
      </c>
      <c r="G101" s="192">
        <v>1113</v>
      </c>
      <c r="H101" t="s" s="15">
        <v>6</v>
      </c>
      <c r="I101" s="192">
        <v>3239</v>
      </c>
      <c r="J101" t="s" s="15">
        <v>6</v>
      </c>
      <c r="K101" s="192">
        <v>3280</v>
      </c>
      <c r="L101" t="s" s="15">
        <v>6</v>
      </c>
      <c r="M101" s="193"/>
      <c r="N101" t="s" s="15">
        <v>6</v>
      </c>
      <c r="O101" s="193"/>
      <c r="P101" t="s" s="15">
        <v>6</v>
      </c>
      <c r="Q101" s="193"/>
      <c r="R101" t="s" s="15">
        <v>6</v>
      </c>
      <c r="S101" s="193"/>
      <c r="T101" t="s" s="15">
        <v>6</v>
      </c>
      <c r="U101" s="193"/>
      <c r="V101" t="s" s="15">
        <v>6</v>
      </c>
      <c r="W101" s="193"/>
      <c r="X101" t="s" s="15">
        <v>6</v>
      </c>
      <c r="Y101" s="193"/>
      <c r="Z101" t="s" s="15">
        <v>6</v>
      </c>
      <c r="AA101" s="193"/>
      <c r="AB101" t="s" s="15">
        <v>6</v>
      </c>
      <c r="AC101" s="193"/>
      <c r="AD101" s="180"/>
      <c r="AE101" s="177"/>
      <c r="AF101" s="7"/>
    </row>
    <row r="102" ht="13.55" customHeight="1">
      <c r="A102" s="201"/>
      <c r="B102" s="23"/>
      <c r="C102" s="9"/>
      <c r="D102" s="42"/>
      <c r="E102" s="185"/>
      <c r="F102" t="s" s="15">
        <v>8</v>
      </c>
      <c r="G102" s="202">
        <v>500</v>
      </c>
      <c r="H102" t="s" s="15">
        <v>8</v>
      </c>
      <c r="I102" s="202">
        <v>500</v>
      </c>
      <c r="J102" t="s" s="15">
        <v>8</v>
      </c>
      <c r="K102" s="202">
        <v>500</v>
      </c>
      <c r="L102" t="s" s="15">
        <v>8</v>
      </c>
      <c r="M102" s="203"/>
      <c r="N102" t="s" s="15">
        <v>8</v>
      </c>
      <c r="O102" s="203"/>
      <c r="P102" t="s" s="15">
        <v>8</v>
      </c>
      <c r="Q102" s="203"/>
      <c r="R102" t="s" s="15">
        <v>8</v>
      </c>
      <c r="S102" s="203"/>
      <c r="T102" t="s" s="15">
        <v>8</v>
      </c>
      <c r="U102" s="203"/>
      <c r="V102" t="s" s="15">
        <v>8</v>
      </c>
      <c r="W102" s="203"/>
      <c r="X102" t="s" s="15">
        <v>8</v>
      </c>
      <c r="Y102" s="203"/>
      <c r="Z102" t="s" s="15">
        <v>8</v>
      </c>
      <c r="AA102" s="203"/>
      <c r="AB102" t="s" s="15">
        <v>8</v>
      </c>
      <c r="AC102" s="203"/>
      <c r="AD102" s="182" cm="1">
        <f t="array" ref="AD102">G102+I102+K102+M102+O102+Q102+S102+U102+W102+Y102+AA102+AC102</f>
        <v>1500</v>
      </c>
      <c r="AE102" s="183" cm="1">
        <f t="array" ref="AE102">450*12</f>
        <v>5400</v>
      </c>
      <c r="AF102" s="51" cm="1">
        <f t="array" ref="AF102">AE102-AD102</f>
        <v>3900</v>
      </c>
    </row>
    <row r="103" ht="13.75" customHeight="1">
      <c r="A103" s="201"/>
      <c r="B103" t="s" s="87">
        <v>97</v>
      </c>
      <c r="C103" t="s" s="8">
        <v>9</v>
      </c>
      <c r="D103" s="25">
        <v>1000</v>
      </c>
      <c r="E103" s="185"/>
      <c r="F103" t="s" s="15">
        <v>10</v>
      </c>
      <c r="G103" t="s" s="33">
        <v>93</v>
      </c>
      <c r="H103" t="s" s="15">
        <v>10</v>
      </c>
      <c r="I103" t="s" s="33">
        <v>64</v>
      </c>
      <c r="J103" t="s" s="15">
        <v>10</v>
      </c>
      <c r="K103" t="s" s="33">
        <v>214</v>
      </c>
      <c r="L103" t="s" s="15">
        <v>10</v>
      </c>
      <c r="M103" s="34"/>
      <c r="N103" t="s" s="15">
        <v>10</v>
      </c>
      <c r="O103" s="34"/>
      <c r="P103" t="s" s="15">
        <v>10</v>
      </c>
      <c r="Q103" s="34"/>
      <c r="R103" t="s" s="15">
        <v>10</v>
      </c>
      <c r="S103" s="34"/>
      <c r="T103" t="s" s="15">
        <v>10</v>
      </c>
      <c r="U103" s="34"/>
      <c r="V103" t="s" s="15">
        <v>10</v>
      </c>
      <c r="W103" s="34"/>
      <c r="X103" t="s" s="15">
        <v>10</v>
      </c>
      <c r="Y103" s="34"/>
      <c r="Z103" t="s" s="15">
        <v>10</v>
      </c>
      <c r="AA103" s="34"/>
      <c r="AB103" t="s" s="15">
        <v>10</v>
      </c>
      <c r="AC103" s="34"/>
      <c r="AD103" s="180"/>
      <c r="AE103" s="177"/>
      <c r="AF103" s="7"/>
    </row>
    <row r="104" ht="13.55" customHeight="1">
      <c r="A104" s="201"/>
      <c r="B104" t="s" s="15">
        <v>361</v>
      </c>
      <c r="C104" s="23"/>
      <c r="D104" s="23"/>
      <c r="E104" t="s" s="15">
        <v>14</v>
      </c>
      <c r="F104" t="s" s="15">
        <v>6</v>
      </c>
      <c r="G104" s="64"/>
      <c r="H104" t="s" s="15">
        <v>6</v>
      </c>
      <c r="I104" s="64"/>
      <c r="J104" t="s" s="15">
        <v>6</v>
      </c>
      <c r="K104" s="23"/>
      <c r="L104" t="s" s="15">
        <v>6</v>
      </c>
      <c r="M104" s="64"/>
      <c r="N104" t="s" s="15">
        <v>6</v>
      </c>
      <c r="O104" s="64"/>
      <c r="P104" t="s" s="15">
        <v>6</v>
      </c>
      <c r="Q104" s="64"/>
      <c r="R104" t="s" s="15">
        <v>6</v>
      </c>
      <c r="S104" s="23"/>
      <c r="T104" t="s" s="15">
        <v>6</v>
      </c>
      <c r="U104" s="23"/>
      <c r="V104" t="s" s="15">
        <v>6</v>
      </c>
      <c r="W104" s="23"/>
      <c r="X104" s="23"/>
      <c r="Y104" s="23"/>
      <c r="Z104" s="23"/>
      <c r="AA104" s="23"/>
      <c r="AB104" s="23"/>
      <c r="AC104" s="23"/>
      <c r="AD104" s="180"/>
      <c r="AE104" s="177"/>
      <c r="AF104" s="7"/>
    </row>
    <row r="105" ht="13.55" customHeight="1">
      <c r="A105" s="201"/>
      <c r="B105" t="s" s="15">
        <v>362</v>
      </c>
      <c r="C105" s="23"/>
      <c r="D105" s="23"/>
      <c r="E105" s="23"/>
      <c r="F105" t="s" s="15">
        <v>8</v>
      </c>
      <c r="G105" s="64"/>
      <c r="H105" t="s" s="15">
        <v>8</v>
      </c>
      <c r="I105" s="64"/>
      <c r="J105" t="s" s="15">
        <v>8</v>
      </c>
      <c r="K105" s="23"/>
      <c r="L105" t="s" s="15">
        <v>8</v>
      </c>
      <c r="M105" s="64"/>
      <c r="N105" t="s" s="15">
        <v>8</v>
      </c>
      <c r="O105" s="64"/>
      <c r="P105" t="s" s="15">
        <v>8</v>
      </c>
      <c r="Q105" s="64"/>
      <c r="R105" t="s" s="15">
        <v>8</v>
      </c>
      <c r="S105" s="23"/>
      <c r="T105" t="s" s="15">
        <v>8</v>
      </c>
      <c r="U105" s="23"/>
      <c r="V105" t="s" s="15">
        <v>8</v>
      </c>
      <c r="W105" s="23"/>
      <c r="X105" s="23"/>
      <c r="Y105" s="23"/>
      <c r="Z105" s="23"/>
      <c r="AA105" s="23"/>
      <c r="AB105" s="23"/>
      <c r="AC105" s="23"/>
      <c r="AD105" s="182" cm="1">
        <f t="array" ref="AD105">G105+I105+K105+M105+O105+Q105+S105+U105+W105+Y105+AA105+AC105</f>
        <v>0</v>
      </c>
      <c r="AE105" s="177"/>
      <c r="AF105" s="7"/>
    </row>
    <row r="106" ht="13.55" customHeight="1">
      <c r="A106" s="204"/>
      <c r="B106" s="23"/>
      <c r="C106" s="23"/>
      <c r="D106" s="23"/>
      <c r="E106" s="23"/>
      <c r="F106" t="s" s="15">
        <v>10</v>
      </c>
      <c r="G106" s="64"/>
      <c r="H106" t="s" s="15">
        <v>10</v>
      </c>
      <c r="I106" s="64"/>
      <c r="J106" t="s" s="15">
        <v>10</v>
      </c>
      <c r="K106" s="23"/>
      <c r="L106" t="s" s="15">
        <v>10</v>
      </c>
      <c r="M106" s="64"/>
      <c r="N106" t="s" s="15">
        <v>10</v>
      </c>
      <c r="O106" s="64"/>
      <c r="P106" t="s" s="15">
        <v>10</v>
      </c>
      <c r="Q106" s="64"/>
      <c r="R106" t="s" s="15">
        <v>10</v>
      </c>
      <c r="S106" s="23"/>
      <c r="T106" t="s" s="15">
        <v>10</v>
      </c>
      <c r="U106" s="23"/>
      <c r="V106" t="s" s="15">
        <v>10</v>
      </c>
      <c r="W106" s="23"/>
      <c r="X106" s="23"/>
      <c r="Y106" s="23"/>
      <c r="Z106" s="23"/>
      <c r="AA106" s="23"/>
      <c r="AB106" s="23"/>
      <c r="AC106" s="23"/>
      <c r="AD106" s="180"/>
      <c r="AE106" s="177"/>
      <c r="AF106" s="7"/>
    </row>
    <row r="107" ht="13.55" customHeight="1">
      <c r="A107" s="205"/>
      <c r="B107" s="113"/>
      <c r="C107" s="65"/>
      <c r="D107" s="65"/>
      <c r="E107" s="65"/>
      <c r="F107" s="65"/>
      <c r="G107" s="206"/>
      <c r="H107" s="65"/>
      <c r="I107" s="206"/>
      <c r="J107" s="65"/>
      <c r="K107" s="65"/>
      <c r="L107" s="65"/>
      <c r="M107" s="206"/>
      <c r="N107" s="65"/>
      <c r="O107" s="206"/>
      <c r="P107" s="65"/>
      <c r="Q107" s="206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39"/>
      <c r="AD107" s="180"/>
      <c r="AE107" s="177"/>
      <c r="AF107" s="7"/>
    </row>
    <row r="108" ht="23.25" customHeight="1">
      <c r="A108" t="s" s="207">
        <v>363</v>
      </c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10"/>
      <c r="AD108" s="180"/>
      <c r="AE108" s="177"/>
      <c r="AF108" s="7"/>
    </row>
    <row r="109" ht="13.55" customHeight="1">
      <c r="A109" t="s" s="15">
        <v>1</v>
      </c>
      <c r="B109" t="s" s="15">
        <v>2</v>
      </c>
      <c r="C109" s="23"/>
      <c r="D109" s="23"/>
      <c r="E109" s="23"/>
      <c r="F109" s="23"/>
      <c r="G109" s="179">
        <v>46113</v>
      </c>
      <c r="H109" s="131"/>
      <c r="I109" s="179">
        <v>46143</v>
      </c>
      <c r="J109" s="131"/>
      <c r="K109" s="179">
        <v>46174</v>
      </c>
      <c r="L109" s="131"/>
      <c r="M109" s="179">
        <v>46204</v>
      </c>
      <c r="N109" s="131"/>
      <c r="O109" s="179">
        <v>46235</v>
      </c>
      <c r="P109" s="131"/>
      <c r="Q109" s="179">
        <v>46266</v>
      </c>
      <c r="R109" s="131"/>
      <c r="S109" s="179"/>
      <c r="T109" s="23"/>
      <c r="U109" s="179"/>
      <c r="V109" s="131"/>
      <c r="W109" s="179"/>
      <c r="X109" s="23"/>
      <c r="Y109" s="179"/>
      <c r="Z109" s="23"/>
      <c r="AA109" s="179"/>
      <c r="AB109" s="131"/>
      <c r="AC109" s="179"/>
      <c r="AD109" t="s" s="211">
        <v>3</v>
      </c>
      <c r="AE109" s="177"/>
      <c r="AF109" s="7"/>
    </row>
    <row r="110" ht="13.75" customHeight="1">
      <c r="A110" s="200">
        <v>1</v>
      </c>
      <c r="B110" t="s" s="130">
        <v>364</v>
      </c>
      <c r="C110" s="23"/>
      <c r="D110" s="23"/>
      <c r="E110" t="s" s="15">
        <v>5</v>
      </c>
      <c r="F110" t="s" s="15">
        <v>6</v>
      </c>
      <c r="G110" s="192">
        <v>1145</v>
      </c>
      <c r="H110" t="s" s="15">
        <v>6</v>
      </c>
      <c r="I110" s="192">
        <v>3157</v>
      </c>
      <c r="J110" t="s" s="15">
        <v>6</v>
      </c>
      <c r="K110" s="192">
        <v>3275</v>
      </c>
      <c r="L110" t="s" s="15">
        <v>6</v>
      </c>
      <c r="M110" s="212"/>
      <c r="N110" t="s" s="15">
        <v>6</v>
      </c>
      <c r="O110" s="212"/>
      <c r="P110" t="s" s="15">
        <v>6</v>
      </c>
      <c r="Q110" s="212"/>
      <c r="R110" t="s" s="15">
        <v>6</v>
      </c>
      <c r="S110" s="212"/>
      <c r="T110" t="s" s="15">
        <v>6</v>
      </c>
      <c r="U110" s="193"/>
      <c r="V110" t="s" s="15">
        <v>6</v>
      </c>
      <c r="W110" s="193"/>
      <c r="X110" t="s" s="15">
        <v>6</v>
      </c>
      <c r="Y110" s="193"/>
      <c r="Z110" t="s" s="15">
        <v>6</v>
      </c>
      <c r="AA110" s="193"/>
      <c r="AB110" t="s" s="15">
        <v>6</v>
      </c>
      <c r="AC110" s="193"/>
      <c r="AD110" s="213"/>
      <c r="AE110" s="177"/>
      <c r="AF110" s="7"/>
    </row>
    <row r="111" ht="13.55" customHeight="1">
      <c r="A111" s="201"/>
      <c r="B111" s="23"/>
      <c r="C111" s="9"/>
      <c r="D111" s="42"/>
      <c r="E111" s="23"/>
      <c r="F111" t="s" s="15">
        <v>8</v>
      </c>
      <c r="G111" s="202">
        <v>1000</v>
      </c>
      <c r="H111" t="s" s="15">
        <v>8</v>
      </c>
      <c r="I111" s="202">
        <v>1000</v>
      </c>
      <c r="J111" t="s" s="15">
        <v>8</v>
      </c>
      <c r="K111" s="202">
        <v>1000</v>
      </c>
      <c r="L111" t="s" s="15">
        <v>8</v>
      </c>
      <c r="M111" s="214"/>
      <c r="N111" t="s" s="15">
        <v>8</v>
      </c>
      <c r="O111" s="203"/>
      <c r="P111" t="s" s="15">
        <v>8</v>
      </c>
      <c r="Q111" s="214"/>
      <c r="R111" t="s" s="15">
        <v>8</v>
      </c>
      <c r="S111" s="214"/>
      <c r="T111" t="s" s="15">
        <v>8</v>
      </c>
      <c r="U111" s="203"/>
      <c r="V111" t="s" s="15">
        <v>8</v>
      </c>
      <c r="W111" s="203"/>
      <c r="X111" t="s" s="15">
        <v>8</v>
      </c>
      <c r="Y111" s="203"/>
      <c r="Z111" t="s" s="15">
        <v>8</v>
      </c>
      <c r="AA111" s="203"/>
      <c r="AB111" t="s" s="15">
        <v>8</v>
      </c>
      <c r="AC111" s="203"/>
      <c r="AD111" s="182" cm="1">
        <f t="array" ref="AD111">G111+I111+K111+M111+O111+Q111+S111+U111+W111+Y111+AA111+AC111</f>
        <v>3000</v>
      </c>
      <c r="AE111" s="183" cm="1">
        <f t="array" ref="AE111">900*12</f>
        <v>10800</v>
      </c>
      <c r="AF111" s="51" cm="1">
        <f t="array" ref="AF111">AE111-AD111</f>
        <v>7800</v>
      </c>
    </row>
    <row r="112" ht="13.55" customHeight="1">
      <c r="A112" s="201"/>
      <c r="B112" s="23"/>
      <c r="C112" t="s" s="8">
        <v>9</v>
      </c>
      <c r="D112" s="25">
        <v>1000</v>
      </c>
      <c r="E112" s="23"/>
      <c r="F112" t="s" s="15">
        <v>10</v>
      </c>
      <c r="G112" t="s" s="33">
        <v>81</v>
      </c>
      <c r="H112" t="s" s="15">
        <v>10</v>
      </c>
      <c r="I112" t="s" s="33">
        <v>51</v>
      </c>
      <c r="J112" t="s" s="15">
        <v>10</v>
      </c>
      <c r="K112" t="s" s="33">
        <v>365</v>
      </c>
      <c r="L112" t="s" s="15">
        <v>10</v>
      </c>
      <c r="M112" s="215"/>
      <c r="N112" t="s" s="15">
        <v>10</v>
      </c>
      <c r="O112" s="215"/>
      <c r="P112" t="s" s="15">
        <v>10</v>
      </c>
      <c r="Q112" s="215"/>
      <c r="R112" t="s" s="15">
        <v>10</v>
      </c>
      <c r="S112" s="215"/>
      <c r="T112" t="s" s="15">
        <v>10</v>
      </c>
      <c r="U112" s="34"/>
      <c r="V112" t="s" s="15">
        <v>10</v>
      </c>
      <c r="W112" s="34"/>
      <c r="X112" t="s" s="15">
        <v>10</v>
      </c>
      <c r="Y112" s="34"/>
      <c r="Z112" t="s" s="15">
        <v>10</v>
      </c>
      <c r="AA112" s="34"/>
      <c r="AB112" t="s" s="15">
        <v>10</v>
      </c>
      <c r="AC112" s="34"/>
      <c r="AD112" s="180"/>
      <c r="AE112" s="177"/>
      <c r="AF112" s="7"/>
    </row>
    <row r="113" ht="13.75" customHeight="1">
      <c r="A113" s="201"/>
      <c r="B113" t="s" s="15">
        <v>366</v>
      </c>
      <c r="C113" s="23"/>
      <c r="D113" s="23"/>
      <c r="E113" t="s" s="15">
        <v>14</v>
      </c>
      <c r="F113" t="s" s="15">
        <v>6</v>
      </c>
      <c r="G113" s="192">
        <v>2065</v>
      </c>
      <c r="H113" t="s" s="15">
        <v>6</v>
      </c>
      <c r="I113" s="192">
        <v>2145</v>
      </c>
      <c r="J113" t="s" s="15">
        <v>6</v>
      </c>
      <c r="K113" s="179"/>
      <c r="L113" t="s" s="15">
        <v>6</v>
      </c>
      <c r="M113" s="212"/>
      <c r="N113" t="s" s="15">
        <v>6</v>
      </c>
      <c r="O113" s="212"/>
      <c r="P113" t="s" s="15">
        <v>6</v>
      </c>
      <c r="Q113" s="212"/>
      <c r="R113" t="s" s="15">
        <v>6</v>
      </c>
      <c r="S113" s="212"/>
      <c r="T113" t="s" s="15">
        <v>6</v>
      </c>
      <c r="U113" s="193"/>
      <c r="V113" t="s" s="15">
        <v>6</v>
      </c>
      <c r="W113" s="193"/>
      <c r="X113" t="s" s="15">
        <v>6</v>
      </c>
      <c r="Y113" s="193"/>
      <c r="Z113" t="s" s="15">
        <v>6</v>
      </c>
      <c r="AA113" s="193"/>
      <c r="AB113" t="s" s="15">
        <v>6</v>
      </c>
      <c r="AC113" s="193"/>
      <c r="AD113" s="180"/>
      <c r="AE113" s="177"/>
      <c r="AF113" s="7"/>
    </row>
    <row r="114" ht="13.55" customHeight="1">
      <c r="A114" s="201"/>
      <c r="B114" t="s" s="15">
        <v>367</v>
      </c>
      <c r="C114" s="23"/>
      <c r="D114" s="23"/>
      <c r="E114" s="23"/>
      <c r="F114" t="s" s="15">
        <v>8</v>
      </c>
      <c r="G114" s="202">
        <v>800</v>
      </c>
      <c r="H114" t="s" s="15">
        <v>8</v>
      </c>
      <c r="I114" s="202">
        <v>800</v>
      </c>
      <c r="J114" t="s" s="15">
        <v>8</v>
      </c>
      <c r="K114" s="179"/>
      <c r="L114" t="s" s="15">
        <v>8</v>
      </c>
      <c r="M114" s="214"/>
      <c r="N114" t="s" s="15">
        <v>8</v>
      </c>
      <c r="O114" s="203"/>
      <c r="P114" t="s" s="15">
        <v>8</v>
      </c>
      <c r="Q114" s="214"/>
      <c r="R114" t="s" s="15">
        <v>8</v>
      </c>
      <c r="S114" s="214"/>
      <c r="T114" t="s" s="15">
        <v>8</v>
      </c>
      <c r="U114" s="203"/>
      <c r="V114" t="s" s="15">
        <v>8</v>
      </c>
      <c r="W114" s="203"/>
      <c r="X114" t="s" s="15">
        <v>8</v>
      </c>
      <c r="Y114" s="203"/>
      <c r="Z114" t="s" s="15">
        <v>8</v>
      </c>
      <c r="AA114" s="203"/>
      <c r="AB114" t="s" s="15">
        <v>8</v>
      </c>
      <c r="AC114" s="203"/>
      <c r="AD114" s="182" cm="1">
        <f t="array" ref="AD114">G114+I114+K114+M114+O114+Q114+S114+U114+W114+Y114+AA114+AC114</f>
        <v>1600</v>
      </c>
      <c r="AE114" s="183" cm="1">
        <f t="array" ref="AE114">700*11</f>
        <v>7700</v>
      </c>
      <c r="AF114" s="51" cm="1">
        <f t="array" ref="AF114">AE114-AD114</f>
        <v>6100</v>
      </c>
    </row>
    <row r="115" ht="13.55" customHeight="1">
      <c r="A115" s="204"/>
      <c r="B115" s="23"/>
      <c r="C115" s="23"/>
      <c r="D115" s="23"/>
      <c r="E115" s="23"/>
      <c r="F115" t="s" s="15">
        <v>10</v>
      </c>
      <c r="G115" t="s" s="33">
        <v>81</v>
      </c>
      <c r="H115" t="s" s="15">
        <v>10</v>
      </c>
      <c r="I115" t="s" s="33">
        <v>51</v>
      </c>
      <c r="J115" t="s" s="15">
        <v>10</v>
      </c>
      <c r="K115" s="179"/>
      <c r="L115" t="s" s="15">
        <v>10</v>
      </c>
      <c r="M115" s="215"/>
      <c r="N115" t="s" s="15">
        <v>10</v>
      </c>
      <c r="O115" s="215"/>
      <c r="P115" t="s" s="15">
        <v>10</v>
      </c>
      <c r="Q115" s="215"/>
      <c r="R115" t="s" s="15">
        <v>10</v>
      </c>
      <c r="S115" s="215"/>
      <c r="T115" t="s" s="15">
        <v>10</v>
      </c>
      <c r="U115" s="34"/>
      <c r="V115" t="s" s="15">
        <v>10</v>
      </c>
      <c r="W115" s="34"/>
      <c r="X115" t="s" s="15">
        <v>10</v>
      </c>
      <c r="Y115" s="34"/>
      <c r="Z115" t="s" s="15">
        <v>10</v>
      </c>
      <c r="AA115" s="34"/>
      <c r="AB115" t="s" s="15">
        <v>10</v>
      </c>
      <c r="AC115" s="34"/>
      <c r="AD115" s="213"/>
      <c r="AE115" s="177"/>
      <c r="AF115" s="7"/>
    </row>
    <row r="116" ht="13.55" customHeight="1">
      <c r="A116" s="23"/>
      <c r="B116" s="23"/>
      <c r="C116" s="23"/>
      <c r="D116" s="23"/>
      <c r="E116" s="23"/>
      <c r="F116" s="23"/>
      <c r="G116" s="179"/>
      <c r="H116" s="131"/>
      <c r="I116" s="179"/>
      <c r="J116" s="131"/>
      <c r="K116" s="179"/>
      <c r="L116" s="131"/>
      <c r="M116" s="179"/>
      <c r="N116" s="131"/>
      <c r="O116" s="179"/>
      <c r="P116" s="131"/>
      <c r="Q116" s="179"/>
      <c r="R116" s="131"/>
      <c r="S116" s="179"/>
      <c r="T116" s="23"/>
      <c r="U116" s="216"/>
      <c r="V116" s="23"/>
      <c r="W116" s="216"/>
      <c r="X116" s="23"/>
      <c r="Y116" s="216"/>
      <c r="Z116" s="23"/>
      <c r="AA116" s="216"/>
      <c r="AB116" s="23"/>
      <c r="AC116" s="216"/>
      <c r="AD116" s="213"/>
      <c r="AE116" s="177"/>
      <c r="AF116" s="7"/>
    </row>
    <row r="117" ht="13.75" customHeight="1">
      <c r="A117" s="200">
        <v>2</v>
      </c>
      <c r="B117" t="s" s="130">
        <v>368</v>
      </c>
      <c r="C117" s="23"/>
      <c r="D117" s="23"/>
      <c r="E117" t="s" s="15">
        <v>5</v>
      </c>
      <c r="F117" t="s" s="15">
        <v>6</v>
      </c>
      <c r="G117" s="192">
        <v>1210</v>
      </c>
      <c r="H117" t="s" s="15">
        <v>6</v>
      </c>
      <c r="I117" s="212"/>
      <c r="J117" t="s" s="15">
        <v>6</v>
      </c>
      <c r="K117" s="212"/>
      <c r="L117" t="s" s="15">
        <v>6</v>
      </c>
      <c r="M117" s="212"/>
      <c r="N117" t="s" s="15">
        <v>6</v>
      </c>
      <c r="O117" s="212"/>
      <c r="P117" t="s" s="15">
        <v>6</v>
      </c>
      <c r="Q117" s="212"/>
      <c r="R117" t="s" s="15">
        <v>6</v>
      </c>
      <c r="S117" s="212"/>
      <c r="T117" t="s" s="15">
        <v>6</v>
      </c>
      <c r="U117" s="193"/>
      <c r="V117" t="s" s="15">
        <v>6</v>
      </c>
      <c r="W117" s="193"/>
      <c r="X117" t="s" s="15">
        <v>6</v>
      </c>
      <c r="Y117" s="193"/>
      <c r="Z117" t="s" s="15">
        <v>6</v>
      </c>
      <c r="AA117" s="193"/>
      <c r="AB117" t="s" s="15">
        <v>6</v>
      </c>
      <c r="AC117" s="193"/>
      <c r="AD117" s="213"/>
      <c r="AE117" s="177"/>
      <c r="AF117" s="7"/>
    </row>
    <row r="118" ht="13.55" customHeight="1">
      <c r="A118" s="201"/>
      <c r="B118" s="23"/>
      <c r="C118" s="9"/>
      <c r="D118" s="42"/>
      <c r="E118" s="23"/>
      <c r="F118" t="s" s="15">
        <v>8</v>
      </c>
      <c r="G118" s="202">
        <v>500</v>
      </c>
      <c r="H118" t="s" s="15">
        <v>8</v>
      </c>
      <c r="I118" s="214"/>
      <c r="J118" t="s" s="15">
        <v>8</v>
      </c>
      <c r="K118" s="214"/>
      <c r="L118" t="s" s="15">
        <v>8</v>
      </c>
      <c r="M118" s="214"/>
      <c r="N118" t="s" s="15">
        <v>8</v>
      </c>
      <c r="O118" s="203"/>
      <c r="P118" t="s" s="15">
        <v>8</v>
      </c>
      <c r="Q118" s="214"/>
      <c r="R118" t="s" s="15">
        <v>8</v>
      </c>
      <c r="S118" s="214"/>
      <c r="T118" t="s" s="15">
        <v>8</v>
      </c>
      <c r="U118" s="203"/>
      <c r="V118" t="s" s="15">
        <v>8</v>
      </c>
      <c r="W118" s="203"/>
      <c r="X118" t="s" s="15">
        <v>8</v>
      </c>
      <c r="Y118" s="203"/>
      <c r="Z118" t="s" s="15">
        <v>8</v>
      </c>
      <c r="AA118" s="203"/>
      <c r="AB118" t="s" s="15">
        <v>8</v>
      </c>
      <c r="AC118" s="203"/>
      <c r="AD118" s="182" cm="1">
        <f t="array" ref="AD118">G118+I118+K118+M118+O118+Q118+S118+U118+W118+Y118+AA118+AC118</f>
        <v>500</v>
      </c>
      <c r="AE118" s="183" cm="1">
        <f t="array" ref="AE118">450*12</f>
        <v>5400</v>
      </c>
      <c r="AF118" s="51" cm="1">
        <f t="array" ref="AF118">AE118-AD118</f>
        <v>4900</v>
      </c>
    </row>
    <row r="119" ht="13.55" customHeight="1">
      <c r="A119" s="201"/>
      <c r="B119" t="s" s="217">
        <v>369</v>
      </c>
      <c r="C119" t="s" s="8">
        <v>9</v>
      </c>
      <c r="D119" s="25">
        <v>1000</v>
      </c>
      <c r="E119" s="23"/>
      <c r="F119" t="s" s="15">
        <v>10</v>
      </c>
      <c r="G119" t="s" s="33">
        <v>370</v>
      </c>
      <c r="H119" t="s" s="15">
        <v>10</v>
      </c>
      <c r="I119" s="215"/>
      <c r="J119" t="s" s="15">
        <v>10</v>
      </c>
      <c r="K119" s="215"/>
      <c r="L119" t="s" s="15">
        <v>10</v>
      </c>
      <c r="M119" s="215"/>
      <c r="N119" t="s" s="15">
        <v>10</v>
      </c>
      <c r="O119" s="215"/>
      <c r="P119" t="s" s="15">
        <v>10</v>
      </c>
      <c r="Q119" s="215"/>
      <c r="R119" t="s" s="15">
        <v>10</v>
      </c>
      <c r="S119" s="215"/>
      <c r="T119" t="s" s="15">
        <v>10</v>
      </c>
      <c r="U119" s="34"/>
      <c r="V119" t="s" s="15">
        <v>10</v>
      </c>
      <c r="W119" s="34"/>
      <c r="X119" t="s" s="15">
        <v>10</v>
      </c>
      <c r="Y119" s="34"/>
      <c r="Z119" t="s" s="15">
        <v>10</v>
      </c>
      <c r="AA119" s="34"/>
      <c r="AB119" t="s" s="15">
        <v>10</v>
      </c>
      <c r="AC119" s="34"/>
      <c r="AD119" s="180"/>
      <c r="AE119" s="177"/>
      <c r="AF119" s="7"/>
    </row>
    <row r="120" ht="13.75" customHeight="1">
      <c r="A120" s="201"/>
      <c r="B120" t="s" s="15">
        <v>371</v>
      </c>
      <c r="C120" s="23"/>
      <c r="D120" s="23"/>
      <c r="E120" t="s" s="15">
        <v>14</v>
      </c>
      <c r="F120" t="s" s="15">
        <v>6</v>
      </c>
      <c r="G120" s="192">
        <v>2117</v>
      </c>
      <c r="H120" t="s" s="15">
        <v>6</v>
      </c>
      <c r="I120" s="212"/>
      <c r="J120" t="s" s="15">
        <v>6</v>
      </c>
      <c r="K120" s="179"/>
      <c r="L120" t="s" s="15">
        <v>6</v>
      </c>
      <c r="M120" s="212"/>
      <c r="N120" t="s" s="15">
        <v>6</v>
      </c>
      <c r="O120" s="212"/>
      <c r="P120" t="s" s="15">
        <v>6</v>
      </c>
      <c r="Q120" s="212"/>
      <c r="R120" t="s" s="15">
        <v>6</v>
      </c>
      <c r="S120" s="212"/>
      <c r="T120" t="s" s="15">
        <v>6</v>
      </c>
      <c r="U120" s="193"/>
      <c r="V120" t="s" s="15">
        <v>6</v>
      </c>
      <c r="W120" s="193"/>
      <c r="X120" t="s" s="15">
        <v>6</v>
      </c>
      <c r="Y120" s="193"/>
      <c r="Z120" t="s" s="15">
        <v>6</v>
      </c>
      <c r="AA120" s="193"/>
      <c r="AB120" t="s" s="15">
        <v>6</v>
      </c>
      <c r="AC120" s="193"/>
      <c r="AD120" s="180"/>
      <c r="AE120" s="177"/>
      <c r="AF120" s="7"/>
    </row>
    <row r="121" ht="13.55" customHeight="1">
      <c r="A121" s="201"/>
      <c r="B121" t="s" s="15">
        <v>372</v>
      </c>
      <c r="C121" s="23"/>
      <c r="D121" s="23"/>
      <c r="E121" s="23"/>
      <c r="F121" t="s" s="15">
        <v>8</v>
      </c>
      <c r="G121" s="202">
        <v>1000</v>
      </c>
      <c r="H121" t="s" s="15">
        <v>8</v>
      </c>
      <c r="I121" s="214"/>
      <c r="J121" t="s" s="15">
        <v>8</v>
      </c>
      <c r="K121" s="179"/>
      <c r="L121" t="s" s="15">
        <v>8</v>
      </c>
      <c r="M121" s="214"/>
      <c r="N121" t="s" s="15">
        <v>8</v>
      </c>
      <c r="O121" s="203"/>
      <c r="P121" t="s" s="15">
        <v>8</v>
      </c>
      <c r="Q121" s="214"/>
      <c r="R121" t="s" s="15">
        <v>8</v>
      </c>
      <c r="S121" s="214"/>
      <c r="T121" t="s" s="15">
        <v>8</v>
      </c>
      <c r="U121" s="203"/>
      <c r="V121" t="s" s="15">
        <v>8</v>
      </c>
      <c r="W121" s="203"/>
      <c r="X121" t="s" s="15">
        <v>8</v>
      </c>
      <c r="Y121" s="203"/>
      <c r="Z121" t="s" s="15">
        <v>8</v>
      </c>
      <c r="AA121" s="203"/>
      <c r="AB121" t="s" s="15">
        <v>8</v>
      </c>
      <c r="AC121" s="203"/>
      <c r="AD121" s="182" cm="1">
        <f t="array" ref="AD121">G121+I121+K121+M121+O121+Q121+S121+U121+W121+Y121+AA121+AC121</f>
        <v>1000</v>
      </c>
      <c r="AE121" s="183" cm="1">
        <f t="array" ref="AE121">900*11</f>
        <v>9900</v>
      </c>
      <c r="AF121" s="51" cm="1">
        <f t="array" ref="AF121">AE121-AD121</f>
        <v>8900</v>
      </c>
    </row>
    <row r="122" ht="13.55" customHeight="1">
      <c r="A122" s="204"/>
      <c r="B122" s="23"/>
      <c r="C122" s="23"/>
      <c r="D122" s="23"/>
      <c r="E122" s="23"/>
      <c r="F122" t="s" s="15">
        <v>10</v>
      </c>
      <c r="G122" t="s" s="33">
        <v>370</v>
      </c>
      <c r="H122" t="s" s="15">
        <v>10</v>
      </c>
      <c r="I122" s="215"/>
      <c r="J122" t="s" s="15">
        <v>10</v>
      </c>
      <c r="K122" s="179"/>
      <c r="L122" t="s" s="15">
        <v>10</v>
      </c>
      <c r="M122" s="215"/>
      <c r="N122" t="s" s="15">
        <v>10</v>
      </c>
      <c r="O122" s="215"/>
      <c r="P122" t="s" s="15">
        <v>10</v>
      </c>
      <c r="Q122" s="215"/>
      <c r="R122" t="s" s="15">
        <v>10</v>
      </c>
      <c r="S122" s="215"/>
      <c r="T122" t="s" s="15">
        <v>10</v>
      </c>
      <c r="U122" s="34"/>
      <c r="V122" t="s" s="15">
        <v>10</v>
      </c>
      <c r="W122" s="34"/>
      <c r="X122" t="s" s="15">
        <v>10</v>
      </c>
      <c r="Y122" s="34"/>
      <c r="Z122" t="s" s="15">
        <v>10</v>
      </c>
      <c r="AA122" s="34"/>
      <c r="AB122" t="s" s="15">
        <v>10</v>
      </c>
      <c r="AC122" s="34"/>
      <c r="AD122" s="213"/>
      <c r="AE122" s="177"/>
      <c r="AF122" s="7"/>
    </row>
    <row r="123" ht="13.55" customHeight="1">
      <c r="A123" s="23"/>
      <c r="B123" s="23"/>
      <c r="C123" s="23"/>
      <c r="D123" s="23"/>
      <c r="E123" s="23"/>
      <c r="F123" s="23"/>
      <c r="G123" s="179"/>
      <c r="H123" s="131"/>
      <c r="I123" s="179"/>
      <c r="J123" s="131"/>
      <c r="K123" s="179"/>
      <c r="L123" s="131"/>
      <c r="M123" s="179"/>
      <c r="N123" s="131"/>
      <c r="O123" s="179"/>
      <c r="P123" s="131"/>
      <c r="Q123" s="179"/>
      <c r="R123" s="131"/>
      <c r="S123" s="179"/>
      <c r="T123" s="23"/>
      <c r="U123" s="216"/>
      <c r="V123" s="23"/>
      <c r="W123" s="216"/>
      <c r="X123" s="23"/>
      <c r="Y123" s="216"/>
      <c r="Z123" s="23"/>
      <c r="AA123" s="216"/>
      <c r="AB123" s="23"/>
      <c r="AC123" s="216"/>
      <c r="AD123" s="213"/>
      <c r="AE123" s="177"/>
      <c r="AF123" s="7"/>
    </row>
    <row r="124" ht="13.75" customHeight="1">
      <c r="A124" s="200">
        <v>3</v>
      </c>
      <c r="B124" t="s" s="130">
        <v>373</v>
      </c>
      <c r="C124" s="23"/>
      <c r="D124" s="23"/>
      <c r="E124" t="s" s="15">
        <v>5</v>
      </c>
      <c r="F124" t="s" s="15">
        <v>6</v>
      </c>
      <c r="G124" s="192">
        <v>1152</v>
      </c>
      <c r="H124" t="s" s="15">
        <v>6</v>
      </c>
      <c r="I124" s="212"/>
      <c r="J124" t="s" s="15">
        <v>6</v>
      </c>
      <c r="K124" s="212"/>
      <c r="L124" t="s" s="15">
        <v>6</v>
      </c>
      <c r="M124" s="212"/>
      <c r="N124" t="s" s="15">
        <v>6</v>
      </c>
      <c r="O124" s="212"/>
      <c r="P124" t="s" s="15">
        <v>6</v>
      </c>
      <c r="Q124" s="212"/>
      <c r="R124" t="s" s="15">
        <v>6</v>
      </c>
      <c r="S124" s="212"/>
      <c r="T124" t="s" s="15">
        <v>6</v>
      </c>
      <c r="U124" s="212"/>
      <c r="V124" t="s" s="15">
        <v>6</v>
      </c>
      <c r="W124" s="193"/>
      <c r="X124" t="s" s="15">
        <v>6</v>
      </c>
      <c r="Y124" s="193"/>
      <c r="Z124" t="s" s="15">
        <v>6</v>
      </c>
      <c r="AA124" s="193"/>
      <c r="AB124" t="s" s="15">
        <v>6</v>
      </c>
      <c r="AC124" s="193"/>
      <c r="AD124" s="213"/>
      <c r="AE124" s="177"/>
      <c r="AF124" s="7"/>
    </row>
    <row r="125" ht="13.55" customHeight="1">
      <c r="A125" s="201"/>
      <c r="B125" s="27"/>
      <c r="C125" s="27"/>
      <c r="D125" s="23"/>
      <c r="E125" s="23"/>
      <c r="F125" t="s" s="15">
        <v>8</v>
      </c>
      <c r="G125" s="202">
        <v>1000</v>
      </c>
      <c r="H125" t="s" s="15">
        <v>8</v>
      </c>
      <c r="I125" s="214"/>
      <c r="J125" t="s" s="15">
        <v>8</v>
      </c>
      <c r="K125" s="214"/>
      <c r="L125" t="s" s="15">
        <v>8</v>
      </c>
      <c r="M125" s="214"/>
      <c r="N125" t="s" s="15">
        <v>8</v>
      </c>
      <c r="O125" s="203"/>
      <c r="P125" t="s" s="15">
        <v>8</v>
      </c>
      <c r="Q125" s="214"/>
      <c r="R125" t="s" s="15">
        <v>8</v>
      </c>
      <c r="S125" s="214"/>
      <c r="T125" t="s" s="15">
        <v>8</v>
      </c>
      <c r="U125" s="214"/>
      <c r="V125" t="s" s="15">
        <v>8</v>
      </c>
      <c r="W125" s="203"/>
      <c r="X125" t="s" s="15">
        <v>8</v>
      </c>
      <c r="Y125" s="203"/>
      <c r="Z125" t="s" s="15">
        <v>8</v>
      </c>
      <c r="AA125" s="203"/>
      <c r="AB125" t="s" s="15">
        <v>8</v>
      </c>
      <c r="AC125" s="203"/>
      <c r="AD125" s="182" cm="1">
        <f t="array" ref="AD125">G125+I125+K125+M125+O125+Q125+S125+U125+W125+Y125+AA125+AC125</f>
        <v>1000</v>
      </c>
      <c r="AE125" s="183" cm="1">
        <f t="array" ref="AE125">900*12</f>
        <v>10800</v>
      </c>
      <c r="AF125" s="51" cm="1">
        <f t="array" ref="AF125">AE125-AD125</f>
        <v>9800</v>
      </c>
    </row>
    <row r="126" ht="13.55" customHeight="1">
      <c r="A126" s="201"/>
      <c r="B126" s="27"/>
      <c r="C126" t="s" s="8">
        <v>9</v>
      </c>
      <c r="D126" s="25">
        <v>1000</v>
      </c>
      <c r="E126" s="23"/>
      <c r="F126" t="s" s="15">
        <v>10</v>
      </c>
      <c r="G126" t="s" s="163">
        <v>70</v>
      </c>
      <c r="H126" t="s" s="15">
        <v>10</v>
      </c>
      <c r="I126" s="215"/>
      <c r="J126" t="s" s="15">
        <v>10</v>
      </c>
      <c r="K126" s="215"/>
      <c r="L126" t="s" s="15">
        <v>10</v>
      </c>
      <c r="M126" s="215"/>
      <c r="N126" t="s" s="15">
        <v>10</v>
      </c>
      <c r="O126" s="215"/>
      <c r="P126" t="s" s="15">
        <v>10</v>
      </c>
      <c r="Q126" s="215"/>
      <c r="R126" t="s" s="15">
        <v>10</v>
      </c>
      <c r="S126" s="215"/>
      <c r="T126" t="s" s="15">
        <v>10</v>
      </c>
      <c r="U126" s="215"/>
      <c r="V126" t="s" s="15">
        <v>10</v>
      </c>
      <c r="W126" s="34"/>
      <c r="X126" t="s" s="15">
        <v>10</v>
      </c>
      <c r="Y126" s="34"/>
      <c r="Z126" t="s" s="15">
        <v>10</v>
      </c>
      <c r="AA126" s="34"/>
      <c r="AB126" t="s" s="15">
        <v>10</v>
      </c>
      <c r="AC126" s="34"/>
      <c r="AD126" s="180"/>
      <c r="AE126" s="177"/>
      <c r="AF126" s="7"/>
    </row>
    <row r="127" ht="13.55" customHeight="1">
      <c r="A127" s="201"/>
      <c r="B127" t="s" s="15">
        <v>374</v>
      </c>
      <c r="C127" s="23"/>
      <c r="D127" s="23"/>
      <c r="E127" t="s" s="15">
        <v>14</v>
      </c>
      <c r="F127" t="s" s="15">
        <v>6</v>
      </c>
      <c r="G127" s="179"/>
      <c r="H127" s="131"/>
      <c r="I127" s="179"/>
      <c r="J127" s="131"/>
      <c r="K127" s="179"/>
      <c r="L127" t="s" s="15">
        <v>6</v>
      </c>
      <c r="M127" s="179"/>
      <c r="N127" t="s" s="15">
        <v>6</v>
      </c>
      <c r="O127" s="179"/>
      <c r="P127" t="s" s="15">
        <v>6</v>
      </c>
      <c r="Q127" s="179"/>
      <c r="R127" t="s" s="15">
        <v>6</v>
      </c>
      <c r="S127" s="179"/>
      <c r="T127" t="s" s="15">
        <v>6</v>
      </c>
      <c r="U127" s="216"/>
      <c r="V127" t="s" s="15">
        <v>6</v>
      </c>
      <c r="W127" s="216"/>
      <c r="X127" s="23"/>
      <c r="Y127" s="216"/>
      <c r="Z127" s="23"/>
      <c r="AA127" s="216"/>
      <c r="AB127" s="23"/>
      <c r="AC127" s="216"/>
      <c r="AD127" s="180"/>
      <c r="AE127" s="177"/>
      <c r="AF127" s="7"/>
    </row>
    <row r="128" ht="13.55" customHeight="1">
      <c r="A128" s="201"/>
      <c r="B128" t="s" s="15">
        <v>375</v>
      </c>
      <c r="C128" s="23"/>
      <c r="D128" s="23"/>
      <c r="E128" s="23"/>
      <c r="F128" t="s" s="15">
        <v>8</v>
      </c>
      <c r="G128" s="179"/>
      <c r="H128" s="131"/>
      <c r="I128" s="179"/>
      <c r="J128" s="131"/>
      <c r="K128" s="179"/>
      <c r="L128" t="s" s="15">
        <v>8</v>
      </c>
      <c r="M128" s="179"/>
      <c r="N128" t="s" s="15">
        <v>8</v>
      </c>
      <c r="O128" s="179"/>
      <c r="P128" t="s" s="15">
        <v>8</v>
      </c>
      <c r="Q128" s="179"/>
      <c r="R128" t="s" s="15">
        <v>8</v>
      </c>
      <c r="S128" s="179"/>
      <c r="T128" t="s" s="15">
        <v>8</v>
      </c>
      <c r="U128" s="216"/>
      <c r="V128" t="s" s="15">
        <v>8</v>
      </c>
      <c r="W128" s="216"/>
      <c r="X128" s="23"/>
      <c r="Y128" s="216"/>
      <c r="Z128" s="23"/>
      <c r="AA128" s="216"/>
      <c r="AB128" s="23"/>
      <c r="AC128" s="216"/>
      <c r="AD128" s="182" cm="1">
        <f t="array" ref="AD128">G128+I128+K128+M128+O128+Q128+S128+U128+W128+Y128+AA128+AC128</f>
        <v>0</v>
      </c>
      <c r="AE128" s="177"/>
      <c r="AF128" s="7"/>
    </row>
    <row r="129" ht="13.55" customHeight="1">
      <c r="A129" s="204"/>
      <c r="B129" s="23"/>
      <c r="C129" s="23"/>
      <c r="D129" s="23"/>
      <c r="E129" s="23"/>
      <c r="F129" t="s" s="15">
        <v>10</v>
      </c>
      <c r="G129" s="179"/>
      <c r="H129" s="131"/>
      <c r="I129" s="179"/>
      <c r="J129" s="131"/>
      <c r="K129" s="179"/>
      <c r="L129" t="s" s="15">
        <v>10</v>
      </c>
      <c r="M129" s="179"/>
      <c r="N129" t="s" s="15">
        <v>10</v>
      </c>
      <c r="O129" s="179"/>
      <c r="P129" t="s" s="15">
        <v>10</v>
      </c>
      <c r="Q129" s="179"/>
      <c r="R129" t="s" s="15">
        <v>10</v>
      </c>
      <c r="S129" s="179"/>
      <c r="T129" t="s" s="15">
        <v>10</v>
      </c>
      <c r="U129" s="216"/>
      <c r="V129" t="s" s="15">
        <v>10</v>
      </c>
      <c r="W129" s="216"/>
      <c r="X129" s="23"/>
      <c r="Y129" s="216"/>
      <c r="Z129" s="23"/>
      <c r="AA129" s="216"/>
      <c r="AB129" s="23"/>
      <c r="AC129" s="216"/>
      <c r="AD129" s="213"/>
      <c r="AE129" s="177"/>
      <c r="AF129" s="7"/>
    </row>
    <row r="130" ht="13.55" customHeight="1">
      <c r="A130" s="23"/>
      <c r="B130" s="23"/>
      <c r="C130" s="23"/>
      <c r="D130" s="23"/>
      <c r="E130" s="23"/>
      <c r="F130" s="23"/>
      <c r="G130" s="179"/>
      <c r="H130" s="131"/>
      <c r="I130" s="179"/>
      <c r="J130" s="131"/>
      <c r="K130" s="179"/>
      <c r="L130" s="131"/>
      <c r="M130" s="179"/>
      <c r="N130" s="131"/>
      <c r="O130" s="179"/>
      <c r="P130" s="131"/>
      <c r="Q130" s="179"/>
      <c r="R130" s="131"/>
      <c r="S130" s="179"/>
      <c r="T130" s="23"/>
      <c r="U130" s="216"/>
      <c r="V130" s="23"/>
      <c r="W130" s="216"/>
      <c r="X130" s="23"/>
      <c r="Y130" s="216"/>
      <c r="Z130" s="23"/>
      <c r="AA130" s="216"/>
      <c r="AB130" s="23"/>
      <c r="AC130" s="216"/>
      <c r="AD130" s="213"/>
      <c r="AE130" s="177"/>
      <c r="AF130" s="7"/>
    </row>
    <row r="131" ht="13.75" customHeight="1">
      <c r="A131" s="200">
        <v>4</v>
      </c>
      <c r="B131" t="s" s="130">
        <v>376</v>
      </c>
      <c r="C131" s="23"/>
      <c r="D131" s="23"/>
      <c r="E131" t="s" s="15">
        <v>5</v>
      </c>
      <c r="F131" t="s" s="15">
        <v>6</v>
      </c>
      <c r="G131" s="192">
        <v>1171</v>
      </c>
      <c r="H131" t="s" s="15">
        <v>6</v>
      </c>
      <c r="I131" s="192">
        <v>3162</v>
      </c>
      <c r="J131" t="s" s="15">
        <v>6</v>
      </c>
      <c r="K131" s="212"/>
      <c r="L131" t="s" s="15">
        <v>6</v>
      </c>
      <c r="M131" s="212"/>
      <c r="N131" t="s" s="15">
        <v>6</v>
      </c>
      <c r="O131" s="212"/>
      <c r="P131" t="s" s="15">
        <v>6</v>
      </c>
      <c r="Q131" s="212"/>
      <c r="R131" t="s" s="15">
        <v>6</v>
      </c>
      <c r="S131" s="212"/>
      <c r="T131" t="s" s="15">
        <v>6</v>
      </c>
      <c r="U131" s="18"/>
      <c r="V131" t="s" s="15">
        <v>6</v>
      </c>
      <c r="W131" s="18"/>
      <c r="X131" t="s" s="15">
        <v>6</v>
      </c>
      <c r="Y131" s="18"/>
      <c r="Z131" t="s" s="15">
        <v>6</v>
      </c>
      <c r="AA131" s="18"/>
      <c r="AB131" t="s" s="15">
        <v>6</v>
      </c>
      <c r="AC131" s="18"/>
      <c r="AD131" s="213"/>
      <c r="AE131" s="177"/>
      <c r="AF131" s="7"/>
    </row>
    <row r="132" ht="13.55" customHeight="1">
      <c r="A132" s="201"/>
      <c r="B132" s="23"/>
      <c r="C132" s="42"/>
      <c r="D132" s="23"/>
      <c r="E132" s="23"/>
      <c r="F132" t="s" s="15">
        <v>8</v>
      </c>
      <c r="G132" s="202">
        <v>1000</v>
      </c>
      <c r="H132" t="s" s="15">
        <v>8</v>
      </c>
      <c r="I132" s="202">
        <v>1000</v>
      </c>
      <c r="J132" t="s" s="15">
        <v>8</v>
      </c>
      <c r="K132" s="214"/>
      <c r="L132" t="s" s="15">
        <v>8</v>
      </c>
      <c r="M132" s="214"/>
      <c r="N132" t="s" s="15">
        <v>8</v>
      </c>
      <c r="O132" s="203"/>
      <c r="P132" t="s" s="15">
        <v>8</v>
      </c>
      <c r="Q132" s="214"/>
      <c r="R132" t="s" s="15">
        <v>8</v>
      </c>
      <c r="S132" s="214"/>
      <c r="T132" t="s" s="15">
        <v>8</v>
      </c>
      <c r="U132" s="27"/>
      <c r="V132" t="s" s="15">
        <v>8</v>
      </c>
      <c r="W132" s="27"/>
      <c r="X132" t="s" s="15">
        <v>8</v>
      </c>
      <c r="Y132" s="27"/>
      <c r="Z132" t="s" s="15">
        <v>8</v>
      </c>
      <c r="AA132" s="27"/>
      <c r="AB132" t="s" s="15">
        <v>8</v>
      </c>
      <c r="AC132" s="27"/>
      <c r="AD132" s="182" cm="1">
        <f t="array" ref="AD132">G132+I132+K132+M132+O132+Q132+S132+U132+W132+Y132+AA132+AC132</f>
        <v>2000</v>
      </c>
      <c r="AE132" s="183" cm="1">
        <f t="array" ref="AE132">900*12</f>
        <v>10800</v>
      </c>
      <c r="AF132" s="51" cm="1">
        <f t="array" ref="AF132">AE132-AD132</f>
        <v>8800</v>
      </c>
    </row>
    <row r="133" ht="13.55" customHeight="1">
      <c r="A133" s="201"/>
      <c r="B133" s="23"/>
      <c r="C133" t="s" s="8">
        <v>9</v>
      </c>
      <c r="D133" s="26">
        <v>1000</v>
      </c>
      <c r="E133" s="23"/>
      <c r="F133" t="s" s="15">
        <v>10</v>
      </c>
      <c r="G133" t="s" s="163">
        <v>70</v>
      </c>
      <c r="H133" t="s" s="15">
        <v>10</v>
      </c>
      <c r="I133" t="s" s="163">
        <v>142</v>
      </c>
      <c r="J133" t="s" s="15">
        <v>10</v>
      </c>
      <c r="K133" s="215"/>
      <c r="L133" t="s" s="15">
        <v>10</v>
      </c>
      <c r="M133" s="215"/>
      <c r="N133" t="s" s="15">
        <v>10</v>
      </c>
      <c r="O133" s="215"/>
      <c r="P133" t="s" s="15">
        <v>10</v>
      </c>
      <c r="Q133" s="215"/>
      <c r="R133" t="s" s="15">
        <v>10</v>
      </c>
      <c r="S133" s="215"/>
      <c r="T133" t="s" s="15">
        <v>10</v>
      </c>
      <c r="U133" s="34"/>
      <c r="V133" t="s" s="15">
        <v>10</v>
      </c>
      <c r="W133" s="34"/>
      <c r="X133" t="s" s="15">
        <v>10</v>
      </c>
      <c r="Y133" s="34"/>
      <c r="Z133" t="s" s="15">
        <v>10</v>
      </c>
      <c r="AA133" s="34"/>
      <c r="AB133" t="s" s="15">
        <v>10</v>
      </c>
      <c r="AC133" s="34"/>
      <c r="AD133" s="180"/>
      <c r="AE133" s="177"/>
      <c r="AF133" s="7"/>
    </row>
    <row r="134" ht="13.75" customHeight="1">
      <c r="A134" s="201"/>
      <c r="B134" t="s" s="15">
        <v>377</v>
      </c>
      <c r="C134" s="23"/>
      <c r="D134" s="23"/>
      <c r="E134" t="s" s="15">
        <v>14</v>
      </c>
      <c r="F134" t="s" s="15">
        <v>6</v>
      </c>
      <c r="G134" s="192">
        <v>2086</v>
      </c>
      <c r="H134" t="s" s="15">
        <v>6</v>
      </c>
      <c r="I134" s="192">
        <v>2148</v>
      </c>
      <c r="J134" t="s" s="15">
        <v>6</v>
      </c>
      <c r="K134" s="179"/>
      <c r="L134" t="s" s="15">
        <v>6</v>
      </c>
      <c r="M134" s="212"/>
      <c r="N134" t="s" s="15">
        <v>6</v>
      </c>
      <c r="O134" s="212"/>
      <c r="P134" t="s" s="15">
        <v>6</v>
      </c>
      <c r="Q134" s="212"/>
      <c r="R134" t="s" s="15">
        <v>6</v>
      </c>
      <c r="S134" s="212"/>
      <c r="T134" t="s" s="15">
        <v>6</v>
      </c>
      <c r="U134" s="18"/>
      <c r="V134" t="s" s="15">
        <v>6</v>
      </c>
      <c r="W134" s="18"/>
      <c r="X134" t="s" s="15">
        <v>6</v>
      </c>
      <c r="Y134" s="18"/>
      <c r="Z134" t="s" s="15">
        <v>6</v>
      </c>
      <c r="AA134" s="18"/>
      <c r="AB134" t="s" s="15">
        <v>6</v>
      </c>
      <c r="AC134" s="18"/>
      <c r="AD134" s="180"/>
      <c r="AE134" s="177"/>
      <c r="AF134" s="7"/>
    </row>
    <row r="135" ht="13.55" customHeight="1">
      <c r="A135" s="201"/>
      <c r="B135" t="s" s="15">
        <v>378</v>
      </c>
      <c r="C135" s="23"/>
      <c r="D135" s="23"/>
      <c r="E135" s="23"/>
      <c r="F135" t="s" s="15">
        <v>8</v>
      </c>
      <c r="G135" s="202">
        <v>600</v>
      </c>
      <c r="H135" t="s" s="15">
        <v>8</v>
      </c>
      <c r="I135" s="202">
        <v>600</v>
      </c>
      <c r="J135" t="s" s="15">
        <v>8</v>
      </c>
      <c r="K135" s="179"/>
      <c r="L135" t="s" s="15">
        <v>8</v>
      </c>
      <c r="M135" s="214"/>
      <c r="N135" t="s" s="15">
        <v>8</v>
      </c>
      <c r="O135" s="203"/>
      <c r="P135" t="s" s="15">
        <v>8</v>
      </c>
      <c r="Q135" s="214"/>
      <c r="R135" t="s" s="15">
        <v>8</v>
      </c>
      <c r="S135" s="214"/>
      <c r="T135" t="s" s="15">
        <v>8</v>
      </c>
      <c r="U135" s="27"/>
      <c r="V135" t="s" s="15">
        <v>8</v>
      </c>
      <c r="W135" s="27"/>
      <c r="X135" t="s" s="15">
        <v>8</v>
      </c>
      <c r="Y135" s="27"/>
      <c r="Z135" t="s" s="15">
        <v>8</v>
      </c>
      <c r="AA135" s="27"/>
      <c r="AB135" t="s" s="15">
        <v>8</v>
      </c>
      <c r="AC135" s="27"/>
      <c r="AD135" s="182" cm="1">
        <f t="array" ref="AD135">G135+I135+K135+M135+O135+Q135+S135+U135+W135+Y135+AA135+AC135</f>
        <v>1200</v>
      </c>
      <c r="AE135" s="183" cm="1">
        <f t="array" ref="AE135">500*11</f>
        <v>5500</v>
      </c>
      <c r="AF135" s="51" cm="1">
        <f t="array" ref="AF135">AE135-AD135</f>
        <v>4300</v>
      </c>
    </row>
    <row r="136" ht="13.55" customHeight="1">
      <c r="A136" s="204"/>
      <c r="B136" s="23"/>
      <c r="C136" s="23"/>
      <c r="D136" s="23"/>
      <c r="E136" s="23"/>
      <c r="F136" t="s" s="15">
        <v>10</v>
      </c>
      <c r="G136" t="s" s="163">
        <v>70</v>
      </c>
      <c r="H136" t="s" s="15">
        <v>10</v>
      </c>
      <c r="I136" t="s" s="163">
        <v>142</v>
      </c>
      <c r="J136" t="s" s="15">
        <v>10</v>
      </c>
      <c r="K136" s="179"/>
      <c r="L136" t="s" s="15">
        <v>10</v>
      </c>
      <c r="M136" s="215"/>
      <c r="N136" t="s" s="15">
        <v>10</v>
      </c>
      <c r="O136" s="215"/>
      <c r="P136" t="s" s="15">
        <v>10</v>
      </c>
      <c r="Q136" s="215"/>
      <c r="R136" t="s" s="15">
        <v>10</v>
      </c>
      <c r="S136" s="215"/>
      <c r="T136" t="s" s="15">
        <v>10</v>
      </c>
      <c r="U136" s="34"/>
      <c r="V136" t="s" s="15">
        <v>10</v>
      </c>
      <c r="W136" s="34"/>
      <c r="X136" t="s" s="15">
        <v>10</v>
      </c>
      <c r="Y136" s="34"/>
      <c r="Z136" t="s" s="15">
        <v>10</v>
      </c>
      <c r="AA136" s="34"/>
      <c r="AB136" t="s" s="15">
        <v>10</v>
      </c>
      <c r="AC136" s="34"/>
      <c r="AD136" s="213"/>
      <c r="AE136" s="177"/>
      <c r="AF136" s="7"/>
    </row>
    <row r="137" ht="13.55" customHeight="1">
      <c r="A137" s="23"/>
      <c r="B137" s="23"/>
      <c r="C137" s="23"/>
      <c r="D137" s="23"/>
      <c r="E137" s="23"/>
      <c r="F137" s="23"/>
      <c r="G137" s="179"/>
      <c r="H137" s="131"/>
      <c r="I137" s="179"/>
      <c r="J137" s="131"/>
      <c r="K137" s="179"/>
      <c r="L137" s="131"/>
      <c r="M137" s="179"/>
      <c r="N137" s="131"/>
      <c r="O137" s="179"/>
      <c r="P137" s="131"/>
      <c r="Q137" s="179"/>
      <c r="R137" s="131"/>
      <c r="S137" s="179"/>
      <c r="T137" s="23"/>
      <c r="U137" s="216"/>
      <c r="V137" s="23"/>
      <c r="W137" s="216"/>
      <c r="X137" s="23"/>
      <c r="Y137" s="216"/>
      <c r="Z137" s="23"/>
      <c r="AA137" s="216"/>
      <c r="AB137" s="23"/>
      <c r="AC137" s="216"/>
      <c r="AD137" s="213"/>
      <c r="AE137" s="177"/>
      <c r="AF137" s="7"/>
    </row>
    <row r="138" ht="13.75" customHeight="1">
      <c r="A138" s="200">
        <v>5</v>
      </c>
      <c r="B138" t="s" s="130">
        <v>379</v>
      </c>
      <c r="C138" s="23"/>
      <c r="D138" s="23"/>
      <c r="E138" t="s" s="15">
        <v>5</v>
      </c>
      <c r="F138" t="s" s="15">
        <v>6</v>
      </c>
      <c r="G138" s="192">
        <v>1213</v>
      </c>
      <c r="H138" t="s" s="15">
        <v>6</v>
      </c>
      <c r="I138" s="212"/>
      <c r="J138" t="s" s="15">
        <v>6</v>
      </c>
      <c r="K138" s="212"/>
      <c r="L138" t="s" s="15">
        <v>6</v>
      </c>
      <c r="M138" s="212"/>
      <c r="N138" t="s" s="15">
        <v>6</v>
      </c>
      <c r="O138" s="212"/>
      <c r="P138" t="s" s="15">
        <v>6</v>
      </c>
      <c r="Q138" s="212"/>
      <c r="R138" t="s" s="15">
        <v>6</v>
      </c>
      <c r="S138" s="212"/>
      <c r="T138" t="s" s="15">
        <v>6</v>
      </c>
      <c r="U138" s="18"/>
      <c r="V138" t="s" s="15">
        <v>6</v>
      </c>
      <c r="W138" s="18"/>
      <c r="X138" t="s" s="15">
        <v>6</v>
      </c>
      <c r="Y138" s="18"/>
      <c r="Z138" t="s" s="15">
        <v>6</v>
      </c>
      <c r="AA138" s="18"/>
      <c r="AB138" t="s" s="15">
        <v>6</v>
      </c>
      <c r="AC138" s="18"/>
      <c r="AD138" s="213"/>
      <c r="AE138" s="177"/>
      <c r="AF138" s="7"/>
    </row>
    <row r="139" ht="13.55" customHeight="1">
      <c r="A139" s="201"/>
      <c r="B139" s="23"/>
      <c r="C139" s="9"/>
      <c r="D139" s="27"/>
      <c r="E139" s="23"/>
      <c r="F139" t="s" s="15">
        <v>8</v>
      </c>
      <c r="G139" s="202">
        <v>1000</v>
      </c>
      <c r="H139" t="s" s="15">
        <v>8</v>
      </c>
      <c r="I139" s="214"/>
      <c r="J139" t="s" s="15">
        <v>8</v>
      </c>
      <c r="K139" s="214"/>
      <c r="L139" t="s" s="15">
        <v>8</v>
      </c>
      <c r="M139" s="214"/>
      <c r="N139" t="s" s="15">
        <v>8</v>
      </c>
      <c r="O139" s="203"/>
      <c r="P139" t="s" s="15">
        <v>8</v>
      </c>
      <c r="Q139" s="203"/>
      <c r="R139" t="s" s="15">
        <v>8</v>
      </c>
      <c r="S139" s="203"/>
      <c r="T139" t="s" s="15">
        <v>8</v>
      </c>
      <c r="U139" s="27"/>
      <c r="V139" t="s" s="15">
        <v>8</v>
      </c>
      <c r="W139" s="27"/>
      <c r="X139" t="s" s="15">
        <v>8</v>
      </c>
      <c r="Y139" s="27"/>
      <c r="Z139" t="s" s="15">
        <v>8</v>
      </c>
      <c r="AA139" s="27"/>
      <c r="AB139" t="s" s="15">
        <v>8</v>
      </c>
      <c r="AC139" s="27"/>
      <c r="AD139" s="182" cm="1">
        <f t="array" ref="AD139">G139+I139+K139+M139+O139+Q139+S139+U139+W139+Y139+AA139+AC139</f>
        <v>1000</v>
      </c>
      <c r="AE139" s="183" cm="1">
        <f t="array" ref="AE139">900*12</f>
        <v>10800</v>
      </c>
      <c r="AF139" s="51" cm="1">
        <f t="array" ref="AF139">AE139-AD139</f>
        <v>9800</v>
      </c>
    </row>
    <row r="140" ht="13.55" customHeight="1">
      <c r="A140" s="201"/>
      <c r="B140" s="23"/>
      <c r="C140" t="s" s="8">
        <v>9</v>
      </c>
      <c r="D140" s="26">
        <v>1000</v>
      </c>
      <c r="E140" s="23"/>
      <c r="F140" t="s" s="15">
        <v>10</v>
      </c>
      <c r="G140" t="s" s="33">
        <v>135</v>
      </c>
      <c r="H140" t="s" s="15">
        <v>10</v>
      </c>
      <c r="I140" s="215"/>
      <c r="J140" t="s" s="15">
        <v>10</v>
      </c>
      <c r="K140" s="215"/>
      <c r="L140" t="s" s="15">
        <v>10</v>
      </c>
      <c r="M140" s="215"/>
      <c r="N140" t="s" s="15">
        <v>10</v>
      </c>
      <c r="O140" s="215"/>
      <c r="P140" t="s" s="15">
        <v>10</v>
      </c>
      <c r="Q140" s="215"/>
      <c r="R140" t="s" s="15">
        <v>10</v>
      </c>
      <c r="S140" s="215"/>
      <c r="T140" t="s" s="15">
        <v>10</v>
      </c>
      <c r="U140" s="34"/>
      <c r="V140" t="s" s="15">
        <v>10</v>
      </c>
      <c r="W140" s="34"/>
      <c r="X140" t="s" s="15">
        <v>10</v>
      </c>
      <c r="Y140" s="34"/>
      <c r="Z140" t="s" s="15">
        <v>10</v>
      </c>
      <c r="AA140" s="34"/>
      <c r="AB140" t="s" s="15">
        <v>10</v>
      </c>
      <c r="AC140" s="34"/>
      <c r="AD140" s="180"/>
      <c r="AE140" s="177"/>
      <c r="AF140" s="7"/>
    </row>
    <row r="141" ht="13.75" customHeight="1">
      <c r="A141" s="201"/>
      <c r="B141" t="s" s="15">
        <v>380</v>
      </c>
      <c r="C141" s="23"/>
      <c r="D141" s="23"/>
      <c r="E141" t="s" s="15">
        <v>14</v>
      </c>
      <c r="F141" t="s" s="15">
        <v>6</v>
      </c>
      <c r="G141" s="192">
        <v>2120</v>
      </c>
      <c r="H141" t="s" s="15">
        <v>6</v>
      </c>
      <c r="I141" s="212"/>
      <c r="J141" t="s" s="15">
        <v>6</v>
      </c>
      <c r="K141" s="212"/>
      <c r="L141" s="131"/>
      <c r="M141" s="179"/>
      <c r="N141" t="s" s="15">
        <v>6</v>
      </c>
      <c r="O141" s="212"/>
      <c r="P141" t="s" s="15">
        <v>6</v>
      </c>
      <c r="Q141" s="212"/>
      <c r="R141" t="s" s="15">
        <v>6</v>
      </c>
      <c r="S141" s="212"/>
      <c r="T141" t="s" s="15">
        <v>6</v>
      </c>
      <c r="U141" s="18"/>
      <c r="V141" t="s" s="15">
        <v>6</v>
      </c>
      <c r="W141" s="18"/>
      <c r="X141" t="s" s="15">
        <v>6</v>
      </c>
      <c r="Y141" s="18"/>
      <c r="Z141" t="s" s="15">
        <v>6</v>
      </c>
      <c r="AA141" s="18"/>
      <c r="AB141" t="s" s="15">
        <v>6</v>
      </c>
      <c r="AC141" s="18"/>
      <c r="AD141" s="180"/>
      <c r="AE141" s="177"/>
      <c r="AF141" s="7"/>
    </row>
    <row r="142" ht="13.55" customHeight="1">
      <c r="A142" s="201"/>
      <c r="B142" t="s" s="15">
        <v>381</v>
      </c>
      <c r="C142" s="23"/>
      <c r="D142" s="23"/>
      <c r="E142" s="23"/>
      <c r="F142" t="s" s="15">
        <v>8</v>
      </c>
      <c r="G142" s="202">
        <v>1200</v>
      </c>
      <c r="H142" t="s" s="15">
        <v>8</v>
      </c>
      <c r="I142" s="214"/>
      <c r="J142" t="s" s="15">
        <v>8</v>
      </c>
      <c r="K142" s="214"/>
      <c r="L142" s="131"/>
      <c r="M142" s="179"/>
      <c r="N142" t="s" s="15">
        <v>8</v>
      </c>
      <c r="O142" s="203"/>
      <c r="P142" t="s" s="15">
        <v>8</v>
      </c>
      <c r="Q142" s="203"/>
      <c r="R142" t="s" s="15">
        <v>8</v>
      </c>
      <c r="S142" s="203"/>
      <c r="T142" t="s" s="15">
        <v>8</v>
      </c>
      <c r="U142" s="27"/>
      <c r="V142" t="s" s="15">
        <v>8</v>
      </c>
      <c r="W142" s="27"/>
      <c r="X142" t="s" s="15">
        <v>8</v>
      </c>
      <c r="Y142" s="27"/>
      <c r="Z142" t="s" s="15">
        <v>8</v>
      </c>
      <c r="AA142" s="27"/>
      <c r="AB142" t="s" s="15">
        <v>8</v>
      </c>
      <c r="AC142" s="27"/>
      <c r="AD142" s="182" cm="1">
        <f t="array" ref="AD142">G142+I142+K142+M142+O142+Q142+S142+U142+W142+Y142+AA142+AC142</f>
        <v>1200</v>
      </c>
      <c r="AE142" s="183" cm="1">
        <f t="array" ref="AE142">500*11</f>
        <v>5500</v>
      </c>
      <c r="AF142" s="51" cm="1">
        <f t="array" ref="AF142">AE142-AD142</f>
        <v>4300</v>
      </c>
    </row>
    <row r="143" ht="13.55" customHeight="1">
      <c r="A143" s="204"/>
      <c r="B143" s="23"/>
      <c r="C143" s="23"/>
      <c r="D143" s="23"/>
      <c r="E143" s="23"/>
      <c r="F143" t="s" s="15">
        <v>10</v>
      </c>
      <c r="G143" t="s" s="33">
        <v>135</v>
      </c>
      <c r="H143" t="s" s="15">
        <v>10</v>
      </c>
      <c r="I143" s="215"/>
      <c r="J143" t="s" s="15">
        <v>10</v>
      </c>
      <c r="K143" s="215"/>
      <c r="L143" s="131"/>
      <c r="M143" s="179"/>
      <c r="N143" t="s" s="15">
        <v>10</v>
      </c>
      <c r="O143" s="215"/>
      <c r="P143" t="s" s="15">
        <v>10</v>
      </c>
      <c r="Q143" s="215"/>
      <c r="R143" t="s" s="15">
        <v>10</v>
      </c>
      <c r="S143" s="215"/>
      <c r="T143" t="s" s="15">
        <v>10</v>
      </c>
      <c r="U143" s="34"/>
      <c r="V143" t="s" s="15">
        <v>10</v>
      </c>
      <c r="W143" s="34"/>
      <c r="X143" t="s" s="15">
        <v>10</v>
      </c>
      <c r="Y143" s="34"/>
      <c r="Z143" t="s" s="15">
        <v>10</v>
      </c>
      <c r="AA143" s="34"/>
      <c r="AB143" t="s" s="15">
        <v>10</v>
      </c>
      <c r="AC143" s="34"/>
      <c r="AD143" s="213"/>
      <c r="AE143" s="177"/>
      <c r="AF143" s="7"/>
    </row>
    <row r="144" ht="13.55" customHeight="1">
      <c r="A144" s="23"/>
      <c r="B144" s="23"/>
      <c r="C144" s="23"/>
      <c r="D144" s="23"/>
      <c r="E144" s="23"/>
      <c r="F144" s="23"/>
      <c r="G144" s="179"/>
      <c r="H144" s="131"/>
      <c r="I144" s="179"/>
      <c r="J144" s="131"/>
      <c r="K144" s="179"/>
      <c r="L144" s="131"/>
      <c r="M144" s="179"/>
      <c r="N144" s="131"/>
      <c r="O144" s="179"/>
      <c r="P144" s="131"/>
      <c r="Q144" s="179"/>
      <c r="R144" s="131"/>
      <c r="S144" s="179"/>
      <c r="T144" s="23"/>
      <c r="U144" s="216"/>
      <c r="V144" s="23"/>
      <c r="W144" s="216"/>
      <c r="X144" s="23"/>
      <c r="Y144" s="216"/>
      <c r="Z144" s="23"/>
      <c r="AA144" s="216"/>
      <c r="AB144" s="23"/>
      <c r="AC144" s="216"/>
      <c r="AD144" s="213"/>
      <c r="AE144" s="177"/>
      <c r="AF144" s="7"/>
    </row>
    <row r="145" ht="13.75" customHeight="1">
      <c r="A145" s="200">
        <v>6</v>
      </c>
      <c r="B145" t="s" s="130">
        <v>382</v>
      </c>
      <c r="C145" s="23"/>
      <c r="D145" s="23"/>
      <c r="E145" t="s" s="15">
        <v>5</v>
      </c>
      <c r="F145" t="s" s="15">
        <v>6</v>
      </c>
      <c r="G145" s="192">
        <v>3201</v>
      </c>
      <c r="H145" t="s" s="15">
        <v>6</v>
      </c>
      <c r="I145" s="192">
        <v>3201</v>
      </c>
      <c r="J145" t="s" s="15">
        <v>6</v>
      </c>
      <c r="K145" s="212"/>
      <c r="L145" t="s" s="15">
        <v>6</v>
      </c>
      <c r="M145" s="212"/>
      <c r="N145" t="s" s="15">
        <v>6</v>
      </c>
      <c r="O145" s="212"/>
      <c r="P145" t="s" s="15">
        <v>6</v>
      </c>
      <c r="Q145" s="212"/>
      <c r="R145" t="s" s="15">
        <v>6</v>
      </c>
      <c r="S145" s="18"/>
      <c r="T145" t="s" s="15">
        <v>6</v>
      </c>
      <c r="U145" s="18"/>
      <c r="V145" t="s" s="15">
        <v>6</v>
      </c>
      <c r="W145" s="18"/>
      <c r="X145" t="s" s="15">
        <v>6</v>
      </c>
      <c r="Y145" s="18"/>
      <c r="Z145" t="s" s="15">
        <v>6</v>
      </c>
      <c r="AA145" s="18"/>
      <c r="AB145" t="s" s="15">
        <v>6</v>
      </c>
      <c r="AC145" s="18"/>
      <c r="AD145" s="213"/>
      <c r="AE145" s="177"/>
      <c r="AF145" s="7"/>
    </row>
    <row r="146" ht="13.55" customHeight="1">
      <c r="A146" s="201"/>
      <c r="B146" s="23"/>
      <c r="C146" s="23"/>
      <c r="D146" s="23"/>
      <c r="E146" s="23"/>
      <c r="F146" t="s" s="15">
        <v>8</v>
      </c>
      <c r="G146" s="202">
        <v>500</v>
      </c>
      <c r="H146" t="s" s="15">
        <v>8</v>
      </c>
      <c r="I146" s="202">
        <v>500</v>
      </c>
      <c r="J146" t="s" s="15">
        <v>8</v>
      </c>
      <c r="K146" s="214"/>
      <c r="L146" t="s" s="15">
        <v>8</v>
      </c>
      <c r="M146" s="214"/>
      <c r="N146" t="s" s="15">
        <v>8</v>
      </c>
      <c r="O146" s="203"/>
      <c r="P146" t="s" s="15">
        <v>8</v>
      </c>
      <c r="Q146" s="214"/>
      <c r="R146" t="s" s="15">
        <v>8</v>
      </c>
      <c r="S146" s="27"/>
      <c r="T146" t="s" s="15">
        <v>8</v>
      </c>
      <c r="U146" s="27"/>
      <c r="V146" t="s" s="15">
        <v>8</v>
      </c>
      <c r="W146" s="27"/>
      <c r="X146" t="s" s="15">
        <v>8</v>
      </c>
      <c r="Y146" s="27"/>
      <c r="Z146" t="s" s="15">
        <v>8</v>
      </c>
      <c r="AA146" s="27"/>
      <c r="AB146" t="s" s="15">
        <v>8</v>
      </c>
      <c r="AC146" s="27"/>
      <c r="AD146" s="182" cm="1">
        <f t="array" ref="AD146">G146+I146+K146+M146+O146+Q146+S146+U146+W146+Y146+AA146+AC146</f>
        <v>1000</v>
      </c>
      <c r="AE146" s="183" cm="1">
        <f t="array" ref="AE146">450*12</f>
        <v>5400</v>
      </c>
      <c r="AF146" s="51" cm="1">
        <f t="array" ref="AF146">AE146-AD146</f>
        <v>4400</v>
      </c>
    </row>
    <row r="147" ht="13.55" customHeight="1">
      <c r="A147" s="201"/>
      <c r="B147" t="s" s="144">
        <v>60</v>
      </c>
      <c r="C147" t="s" s="8">
        <v>9</v>
      </c>
      <c r="D147" s="26">
        <v>1000</v>
      </c>
      <c r="E147" t="s" s="33">
        <v>135</v>
      </c>
      <c r="F147" t="s" s="15">
        <v>10</v>
      </c>
      <c r="G147" t="s" s="33">
        <v>24</v>
      </c>
      <c r="H147" t="s" s="15">
        <v>10</v>
      </c>
      <c r="I147" t="s" s="33">
        <v>24</v>
      </c>
      <c r="J147" t="s" s="15">
        <v>10</v>
      </c>
      <c r="K147" s="215"/>
      <c r="L147" t="s" s="15">
        <v>10</v>
      </c>
      <c r="M147" s="215"/>
      <c r="N147" t="s" s="15">
        <v>10</v>
      </c>
      <c r="O147" s="215"/>
      <c r="P147" t="s" s="15">
        <v>10</v>
      </c>
      <c r="Q147" s="215"/>
      <c r="R147" t="s" s="15">
        <v>10</v>
      </c>
      <c r="S147" s="34"/>
      <c r="T147" t="s" s="15">
        <v>10</v>
      </c>
      <c r="U147" s="34"/>
      <c r="V147" t="s" s="15">
        <v>10</v>
      </c>
      <c r="W147" s="34"/>
      <c r="X147" t="s" s="15">
        <v>10</v>
      </c>
      <c r="Y147" s="34"/>
      <c r="Z147" t="s" s="15">
        <v>10</v>
      </c>
      <c r="AA147" s="34"/>
      <c r="AB147" t="s" s="15">
        <v>10</v>
      </c>
      <c r="AC147" s="34"/>
      <c r="AD147" s="180"/>
      <c r="AE147" s="177"/>
      <c r="AF147" s="7"/>
    </row>
    <row r="148" ht="13.75" customHeight="1">
      <c r="A148" s="201"/>
      <c r="B148" t="s" s="15">
        <v>383</v>
      </c>
      <c r="C148" s="23"/>
      <c r="D148" s="23"/>
      <c r="E148" t="s" s="15">
        <v>14</v>
      </c>
      <c r="F148" t="s" s="15">
        <v>6</v>
      </c>
      <c r="G148" s="192">
        <v>2123</v>
      </c>
      <c r="H148" t="s" s="15">
        <v>6</v>
      </c>
      <c r="I148" s="192">
        <v>2175</v>
      </c>
      <c r="J148" t="s" s="15">
        <v>6</v>
      </c>
      <c r="K148" s="179"/>
      <c r="L148" t="s" s="15">
        <v>6</v>
      </c>
      <c r="M148" s="212"/>
      <c r="N148" t="s" s="15">
        <v>6</v>
      </c>
      <c r="O148" s="212"/>
      <c r="P148" t="s" s="15">
        <v>6</v>
      </c>
      <c r="Q148" s="212"/>
      <c r="R148" t="s" s="15">
        <v>6</v>
      </c>
      <c r="S148" s="18"/>
      <c r="T148" t="s" s="15">
        <v>6</v>
      </c>
      <c r="U148" s="18"/>
      <c r="V148" t="s" s="15">
        <v>6</v>
      </c>
      <c r="W148" s="18"/>
      <c r="X148" t="s" s="15">
        <v>6</v>
      </c>
      <c r="Y148" s="18"/>
      <c r="Z148" t="s" s="15">
        <v>6</v>
      </c>
      <c r="AA148" s="18"/>
      <c r="AB148" t="s" s="15">
        <v>6</v>
      </c>
      <c r="AC148" s="18"/>
      <c r="AD148" s="180"/>
      <c r="AE148" s="177"/>
      <c r="AF148" s="7"/>
    </row>
    <row r="149" ht="13.55" customHeight="1">
      <c r="A149" s="201"/>
      <c r="B149" t="s" s="15">
        <v>384</v>
      </c>
      <c r="C149" s="23"/>
      <c r="D149" s="23"/>
      <c r="E149" s="23"/>
      <c r="F149" t="s" s="15">
        <v>8</v>
      </c>
      <c r="G149" s="202">
        <v>600</v>
      </c>
      <c r="H149" t="s" s="15">
        <v>8</v>
      </c>
      <c r="I149" s="202">
        <v>600</v>
      </c>
      <c r="J149" t="s" s="15">
        <v>8</v>
      </c>
      <c r="K149" s="214"/>
      <c r="L149" t="s" s="15">
        <v>8</v>
      </c>
      <c r="M149" s="214"/>
      <c r="N149" t="s" s="15">
        <v>8</v>
      </c>
      <c r="O149" s="203"/>
      <c r="P149" t="s" s="15">
        <v>8</v>
      </c>
      <c r="Q149" s="214"/>
      <c r="R149" t="s" s="15">
        <v>8</v>
      </c>
      <c r="S149" s="27"/>
      <c r="T149" t="s" s="15">
        <v>8</v>
      </c>
      <c r="U149" s="27"/>
      <c r="V149" t="s" s="15">
        <v>8</v>
      </c>
      <c r="W149" s="27"/>
      <c r="X149" t="s" s="15">
        <v>8</v>
      </c>
      <c r="Y149" s="27"/>
      <c r="Z149" t="s" s="15">
        <v>8</v>
      </c>
      <c r="AA149" s="27"/>
      <c r="AB149" t="s" s="15">
        <v>8</v>
      </c>
      <c r="AC149" s="27"/>
      <c r="AD149" s="182" cm="1">
        <f t="array" ref="AD149">G149+I149+K149+M149+O149+Q149+S149+U149+W149+Y149+AA149+AC149</f>
        <v>1200</v>
      </c>
      <c r="AE149" s="183" cm="1">
        <f t="array" ref="AE149">500*11</f>
        <v>5500</v>
      </c>
      <c r="AF149" s="51" cm="1">
        <f t="array" ref="AF149">AE149-AD149</f>
        <v>4300</v>
      </c>
    </row>
    <row r="150" ht="13.55" customHeight="1">
      <c r="A150" s="204"/>
      <c r="B150" s="23"/>
      <c r="C150" s="23"/>
      <c r="D150" s="23"/>
      <c r="E150" s="23"/>
      <c r="F150" t="s" s="15">
        <v>10</v>
      </c>
      <c r="G150" t="s" s="33">
        <v>135</v>
      </c>
      <c r="H150" t="s" s="15">
        <v>10</v>
      </c>
      <c r="I150" t="s" s="33">
        <v>24</v>
      </c>
      <c r="J150" t="s" s="15">
        <v>10</v>
      </c>
      <c r="K150" s="215"/>
      <c r="L150" t="s" s="15">
        <v>10</v>
      </c>
      <c r="M150" s="215"/>
      <c r="N150" t="s" s="15">
        <v>10</v>
      </c>
      <c r="O150" s="215"/>
      <c r="P150" t="s" s="15">
        <v>10</v>
      </c>
      <c r="Q150" s="215"/>
      <c r="R150" t="s" s="15">
        <v>10</v>
      </c>
      <c r="S150" s="34"/>
      <c r="T150" t="s" s="15">
        <v>10</v>
      </c>
      <c r="U150" s="34"/>
      <c r="V150" t="s" s="15">
        <v>10</v>
      </c>
      <c r="W150" s="34"/>
      <c r="X150" t="s" s="15">
        <v>10</v>
      </c>
      <c r="Y150" s="34"/>
      <c r="Z150" t="s" s="15">
        <v>10</v>
      </c>
      <c r="AA150" s="34"/>
      <c r="AB150" t="s" s="15">
        <v>10</v>
      </c>
      <c r="AC150" s="34"/>
      <c r="AD150" s="213"/>
      <c r="AE150" s="177"/>
      <c r="AF150" s="7"/>
    </row>
    <row r="151" ht="13.55" customHeight="1">
      <c r="A151" s="23"/>
      <c r="B151" s="23"/>
      <c r="C151" s="23"/>
      <c r="D151" s="23"/>
      <c r="E151" s="23"/>
      <c r="F151" s="23"/>
      <c r="G151" s="216"/>
      <c r="H151" s="23"/>
      <c r="I151" s="216"/>
      <c r="J151" s="23"/>
      <c r="K151" s="216"/>
      <c r="L151" s="23"/>
      <c r="M151" s="216"/>
      <c r="N151" s="23"/>
      <c r="O151" s="216"/>
      <c r="P151" s="23"/>
      <c r="Q151" s="216"/>
      <c r="R151" s="23"/>
      <c r="S151" s="216"/>
      <c r="T151" s="23"/>
      <c r="U151" s="216"/>
      <c r="V151" s="23"/>
      <c r="W151" s="216"/>
      <c r="X151" s="23"/>
      <c r="Y151" s="216"/>
      <c r="Z151" s="23"/>
      <c r="AA151" s="216"/>
      <c r="AB151" s="23"/>
      <c r="AC151" s="216"/>
      <c r="AD151" s="213"/>
      <c r="AE151" s="177"/>
      <c r="AF151" s="7"/>
    </row>
    <row r="152" ht="13.75" customHeight="1">
      <c r="A152" s="200">
        <v>7</v>
      </c>
      <c r="B152" t="s" s="130">
        <v>385</v>
      </c>
      <c r="C152" s="23"/>
      <c r="D152" s="23"/>
      <c r="E152" t="s" s="15">
        <v>5</v>
      </c>
      <c r="F152" t="s" s="15">
        <v>6</v>
      </c>
      <c r="G152" s="192">
        <v>1156</v>
      </c>
      <c r="H152" t="s" s="15">
        <v>6</v>
      </c>
      <c r="I152" s="192">
        <v>1250</v>
      </c>
      <c r="J152" t="s" s="15">
        <v>6</v>
      </c>
      <c r="K152" s="212"/>
      <c r="L152" t="s" s="15">
        <v>6</v>
      </c>
      <c r="M152" s="212"/>
      <c r="N152" t="s" s="15">
        <v>6</v>
      </c>
      <c r="O152" s="212"/>
      <c r="P152" t="s" s="15">
        <v>6</v>
      </c>
      <c r="Q152" s="212"/>
      <c r="R152" t="s" s="15">
        <v>6</v>
      </c>
      <c r="S152" s="212"/>
      <c r="T152" t="s" s="15">
        <v>6</v>
      </c>
      <c r="U152" s="212"/>
      <c r="V152" t="s" s="15">
        <v>6</v>
      </c>
      <c r="W152" s="18"/>
      <c r="X152" t="s" s="15">
        <v>6</v>
      </c>
      <c r="Y152" s="18"/>
      <c r="Z152" t="s" s="15">
        <v>6</v>
      </c>
      <c r="AA152" s="18"/>
      <c r="AB152" t="s" s="15">
        <v>6</v>
      </c>
      <c r="AC152" s="18"/>
      <c r="AD152" s="213"/>
      <c r="AE152" s="177"/>
      <c r="AF152" s="7"/>
    </row>
    <row r="153" ht="13.55" customHeight="1">
      <c r="A153" s="201"/>
      <c r="B153" s="23"/>
      <c r="C153" s="9"/>
      <c r="D153" s="42"/>
      <c r="E153" s="23"/>
      <c r="F153" t="s" s="15">
        <v>8</v>
      </c>
      <c r="G153" s="202">
        <v>500</v>
      </c>
      <c r="H153" t="s" s="15">
        <v>8</v>
      </c>
      <c r="I153" s="202">
        <v>500</v>
      </c>
      <c r="J153" t="s" s="15">
        <v>8</v>
      </c>
      <c r="K153" s="214"/>
      <c r="L153" t="s" s="15">
        <v>8</v>
      </c>
      <c r="M153" s="214"/>
      <c r="N153" t="s" s="15">
        <v>8</v>
      </c>
      <c r="O153" s="203"/>
      <c r="P153" t="s" s="15">
        <v>8</v>
      </c>
      <c r="Q153" s="214"/>
      <c r="R153" t="s" s="15">
        <v>8</v>
      </c>
      <c r="S153" s="214"/>
      <c r="T153" t="s" s="15">
        <v>8</v>
      </c>
      <c r="U153" s="214"/>
      <c r="V153" t="s" s="15">
        <v>8</v>
      </c>
      <c r="W153" s="27"/>
      <c r="X153" t="s" s="15">
        <v>8</v>
      </c>
      <c r="Y153" s="27"/>
      <c r="Z153" t="s" s="15">
        <v>8</v>
      </c>
      <c r="AA153" s="27"/>
      <c r="AB153" t="s" s="15">
        <v>8</v>
      </c>
      <c r="AC153" s="27"/>
      <c r="AD153" s="182" cm="1">
        <f t="array" ref="AD153">G153+I153+K153+M153+O153+Q153+S153+U153+W153+Y153+AA153+AC153</f>
        <v>1000</v>
      </c>
      <c r="AE153" s="183" cm="1">
        <f t="array" ref="AE153">450*12</f>
        <v>5400</v>
      </c>
      <c r="AF153" s="51" cm="1">
        <f t="array" ref="AF153">AE153-AD153</f>
        <v>4400</v>
      </c>
    </row>
    <row r="154" ht="13.55" customHeight="1">
      <c r="A154" s="201"/>
      <c r="B154" t="s" s="144">
        <v>60</v>
      </c>
      <c r="C154" t="s" s="8">
        <v>9</v>
      </c>
      <c r="D154" s="25">
        <v>1000</v>
      </c>
      <c r="E154" s="23"/>
      <c r="F154" t="s" s="15">
        <v>10</v>
      </c>
      <c r="G154" t="s" s="163">
        <v>70</v>
      </c>
      <c r="H154" t="s" s="15">
        <v>10</v>
      </c>
      <c r="I154" t="s" s="163">
        <v>323</v>
      </c>
      <c r="J154" t="s" s="15">
        <v>10</v>
      </c>
      <c r="K154" s="215"/>
      <c r="L154" t="s" s="15">
        <v>10</v>
      </c>
      <c r="M154" s="215"/>
      <c r="N154" t="s" s="15">
        <v>10</v>
      </c>
      <c r="O154" s="215"/>
      <c r="P154" t="s" s="15">
        <v>10</v>
      </c>
      <c r="Q154" s="215"/>
      <c r="R154" t="s" s="15">
        <v>10</v>
      </c>
      <c r="S154" s="215"/>
      <c r="T154" t="s" s="15">
        <v>10</v>
      </c>
      <c r="U154" s="215"/>
      <c r="V154" t="s" s="15">
        <v>10</v>
      </c>
      <c r="W154" s="34"/>
      <c r="X154" t="s" s="15">
        <v>10</v>
      </c>
      <c r="Y154" s="34"/>
      <c r="Z154" t="s" s="15">
        <v>10</v>
      </c>
      <c r="AA154" s="34"/>
      <c r="AB154" t="s" s="15">
        <v>10</v>
      </c>
      <c r="AC154" s="34"/>
      <c r="AD154" s="180"/>
      <c r="AE154" s="177"/>
      <c r="AF154" s="7"/>
    </row>
    <row r="155" ht="13.75" customHeight="1">
      <c r="A155" s="201"/>
      <c r="B155" t="s" s="15">
        <v>386</v>
      </c>
      <c r="C155" s="23"/>
      <c r="D155" s="23"/>
      <c r="E155" t="s" s="15">
        <v>14</v>
      </c>
      <c r="F155" t="s" s="15">
        <v>6</v>
      </c>
      <c r="G155" s="192">
        <v>2072</v>
      </c>
      <c r="H155" t="s" s="15">
        <v>6</v>
      </c>
      <c r="I155" s="212"/>
      <c r="J155" t="s" s="15">
        <v>6</v>
      </c>
      <c r="K155" s="40"/>
      <c r="L155" t="s" s="15">
        <v>6</v>
      </c>
      <c r="M155" s="212"/>
      <c r="N155" t="s" s="15">
        <v>6</v>
      </c>
      <c r="O155" s="212"/>
      <c r="P155" t="s" s="15">
        <v>6</v>
      </c>
      <c r="Q155" s="212"/>
      <c r="R155" t="s" s="15">
        <v>6</v>
      </c>
      <c r="S155" s="212"/>
      <c r="T155" t="s" s="15">
        <v>6</v>
      </c>
      <c r="U155" s="212"/>
      <c r="V155" t="s" s="15">
        <v>6</v>
      </c>
      <c r="W155" s="18"/>
      <c r="X155" t="s" s="15">
        <v>6</v>
      </c>
      <c r="Y155" s="18"/>
      <c r="Z155" t="s" s="15">
        <v>6</v>
      </c>
      <c r="AA155" s="18"/>
      <c r="AB155" t="s" s="15">
        <v>6</v>
      </c>
      <c r="AC155" s="18"/>
      <c r="AD155" s="180"/>
      <c r="AE155" s="177"/>
      <c r="AF155" s="7"/>
    </row>
    <row r="156" ht="13.55" customHeight="1">
      <c r="A156" s="201"/>
      <c r="B156" t="s" s="15">
        <v>387</v>
      </c>
      <c r="C156" s="23"/>
      <c r="D156" s="23"/>
      <c r="E156" s="23"/>
      <c r="F156" t="s" s="15">
        <v>8</v>
      </c>
      <c r="G156" s="202">
        <v>800</v>
      </c>
      <c r="H156" t="s" s="15">
        <v>8</v>
      </c>
      <c r="I156" s="214"/>
      <c r="J156" t="s" s="15">
        <v>8</v>
      </c>
      <c r="K156" s="41"/>
      <c r="L156" t="s" s="15">
        <v>8</v>
      </c>
      <c r="M156" s="214"/>
      <c r="N156" t="s" s="15">
        <v>8</v>
      </c>
      <c r="O156" s="195"/>
      <c r="P156" t="s" s="15">
        <v>8</v>
      </c>
      <c r="Q156" s="214"/>
      <c r="R156" t="s" s="15">
        <v>8</v>
      </c>
      <c r="S156" s="214"/>
      <c r="T156" t="s" s="15">
        <v>8</v>
      </c>
      <c r="U156" s="214"/>
      <c r="V156" t="s" s="15">
        <v>8</v>
      </c>
      <c r="W156" s="27"/>
      <c r="X156" t="s" s="15">
        <v>8</v>
      </c>
      <c r="Y156" s="27"/>
      <c r="Z156" t="s" s="15">
        <v>8</v>
      </c>
      <c r="AA156" s="27"/>
      <c r="AB156" t="s" s="15">
        <v>8</v>
      </c>
      <c r="AC156" s="27"/>
      <c r="AD156" s="180" cm="1">
        <f t="array" ref="AD156">G156+I156+K156+M156+O156+Q156+S156+U156+W156+Y156+AA156+AC156</f>
      </c>
      <c r="AE156" s="183" cm="1">
        <f t="array" ref="AE156">700*11</f>
        <v>7700</v>
      </c>
      <c r="AF156" s="7" cm="1">
        <f t="array" ref="AF156">AE156-AD156</f>
      </c>
    </row>
    <row r="157" ht="13.55" customHeight="1">
      <c r="A157" s="204"/>
      <c r="B157" s="23"/>
      <c r="C157" s="23"/>
      <c r="D157" s="23"/>
      <c r="E157" s="23"/>
      <c r="F157" t="s" s="15">
        <v>10</v>
      </c>
      <c r="G157" t="s" s="163">
        <v>70</v>
      </c>
      <c r="H157" t="s" s="15">
        <v>10</v>
      </c>
      <c r="I157" s="215"/>
      <c r="J157" t="s" s="15">
        <v>10</v>
      </c>
      <c r="K157" s="45"/>
      <c r="L157" t="s" s="15">
        <v>10</v>
      </c>
      <c r="M157" s="215"/>
      <c r="N157" t="s" s="15">
        <v>10</v>
      </c>
      <c r="O157" s="215"/>
      <c r="P157" t="s" s="15">
        <v>10</v>
      </c>
      <c r="Q157" s="215"/>
      <c r="R157" t="s" s="15">
        <v>10</v>
      </c>
      <c r="S157" s="215"/>
      <c r="T157" t="s" s="15">
        <v>10</v>
      </c>
      <c r="U157" s="215"/>
      <c r="V157" t="s" s="15">
        <v>10</v>
      </c>
      <c r="W157" s="34"/>
      <c r="X157" t="s" s="15">
        <v>10</v>
      </c>
      <c r="Y157" s="34"/>
      <c r="Z157" t="s" s="15">
        <v>10</v>
      </c>
      <c r="AA157" s="34"/>
      <c r="AB157" t="s" s="15">
        <v>10</v>
      </c>
      <c r="AC157" s="34"/>
      <c r="AD157" s="213"/>
      <c r="AE157" s="177"/>
      <c r="AF157" s="7"/>
    </row>
    <row r="158" ht="13.55" customHeight="1">
      <c r="A158" s="23"/>
      <c r="B158" s="23"/>
      <c r="C158" s="23"/>
      <c r="D158" s="23"/>
      <c r="E158" s="23"/>
      <c r="F158" s="23"/>
      <c r="G158" s="216"/>
      <c r="H158" s="23"/>
      <c r="I158" s="216"/>
      <c r="J158" s="23"/>
      <c r="K158" s="216"/>
      <c r="L158" s="23"/>
      <c r="M158" s="216"/>
      <c r="N158" s="23"/>
      <c r="O158" s="216"/>
      <c r="P158" s="23"/>
      <c r="Q158" s="216"/>
      <c r="R158" s="23"/>
      <c r="S158" s="216"/>
      <c r="T158" s="23"/>
      <c r="U158" s="216"/>
      <c r="V158" s="23"/>
      <c r="W158" s="216"/>
      <c r="X158" s="23"/>
      <c r="Y158" s="216"/>
      <c r="Z158" s="23"/>
      <c r="AA158" s="216"/>
      <c r="AB158" s="23"/>
      <c r="AC158" s="216"/>
      <c r="AD158" s="213"/>
      <c r="AE158" s="177"/>
      <c r="AF158" s="7"/>
    </row>
    <row r="159" ht="15" customHeight="1">
      <c r="A159" s="200">
        <v>8</v>
      </c>
      <c r="B159" t="s" s="130">
        <v>388</v>
      </c>
      <c r="C159" s="23"/>
      <c r="D159" s="23"/>
      <c r="E159" t="s" s="15">
        <v>5</v>
      </c>
      <c r="F159" t="s" s="15">
        <v>6</v>
      </c>
      <c r="G159" s="16">
        <v>3235</v>
      </c>
      <c r="H159" t="s" s="15">
        <v>6</v>
      </c>
      <c r="I159" s="16">
        <v>3235</v>
      </c>
      <c r="J159" t="s" s="15">
        <v>6</v>
      </c>
      <c r="K159" s="212"/>
      <c r="L159" t="s" s="15">
        <v>6</v>
      </c>
      <c r="M159" s="212"/>
      <c r="N159" t="s" s="15">
        <v>6</v>
      </c>
      <c r="O159" s="212"/>
      <c r="P159" t="s" s="15">
        <v>6</v>
      </c>
      <c r="Q159" s="212"/>
      <c r="R159" t="s" s="15">
        <v>6</v>
      </c>
      <c r="S159" s="212"/>
      <c r="T159" t="s" s="15">
        <v>6</v>
      </c>
      <c r="U159" s="18"/>
      <c r="V159" t="s" s="15">
        <v>6</v>
      </c>
      <c r="W159" s="18"/>
      <c r="X159" t="s" s="15">
        <v>6</v>
      </c>
      <c r="Y159" s="18"/>
      <c r="Z159" t="s" s="15">
        <v>6</v>
      </c>
      <c r="AA159" s="18"/>
      <c r="AB159" t="s" s="15">
        <v>6</v>
      </c>
      <c r="AC159" s="18"/>
      <c r="AD159" s="213"/>
      <c r="AE159" s="177"/>
      <c r="AF159" s="7"/>
    </row>
    <row r="160" ht="13.55" customHeight="1">
      <c r="A160" s="201"/>
      <c r="B160" s="27"/>
      <c r="C160" s="27"/>
      <c r="D160" s="27"/>
      <c r="E160" s="23"/>
      <c r="F160" t="s" s="15">
        <v>8</v>
      </c>
      <c r="G160" s="26">
        <v>1000</v>
      </c>
      <c r="H160" t="s" s="15">
        <v>8</v>
      </c>
      <c r="I160" s="26">
        <v>1000</v>
      </c>
      <c r="J160" t="s" s="15">
        <v>8</v>
      </c>
      <c r="K160" s="195"/>
      <c r="L160" t="s" s="15">
        <v>8</v>
      </c>
      <c r="M160" s="214"/>
      <c r="N160" t="s" s="15">
        <v>8</v>
      </c>
      <c r="O160" s="203"/>
      <c r="P160" t="s" s="15">
        <v>8</v>
      </c>
      <c r="Q160" s="203"/>
      <c r="R160" t="s" s="15">
        <v>8</v>
      </c>
      <c r="S160" s="203"/>
      <c r="T160" t="s" s="15">
        <v>8</v>
      </c>
      <c r="U160" s="27"/>
      <c r="V160" t="s" s="15">
        <v>8</v>
      </c>
      <c r="W160" s="27"/>
      <c r="X160" t="s" s="15">
        <v>8</v>
      </c>
      <c r="Y160" s="27"/>
      <c r="Z160" t="s" s="15">
        <v>8</v>
      </c>
      <c r="AA160" s="27"/>
      <c r="AB160" t="s" s="15">
        <v>8</v>
      </c>
      <c r="AC160" s="27"/>
      <c r="AD160" s="182" cm="1">
        <f t="array" ref="AD160">G160+I160+K160+M160+O160+Q160+S160+U160+W160+Y160+AA160+AC160</f>
        <v>2000</v>
      </c>
      <c r="AE160" s="183" cm="1">
        <f t="array" ref="AE160">900*12</f>
        <v>10800</v>
      </c>
      <c r="AF160" s="51" cm="1">
        <f t="array" ref="AF160">AE160-AD160</f>
        <v>8800</v>
      </c>
    </row>
    <row r="161" ht="13.55" customHeight="1">
      <c r="A161" s="201"/>
      <c r="B161" s="27"/>
      <c r="C161" t="s" s="8">
        <v>9</v>
      </c>
      <c r="D161" s="25">
        <v>1000</v>
      </c>
      <c r="E161" s="46"/>
      <c r="F161" t="s" s="15">
        <v>10</v>
      </c>
      <c r="G161" t="s" s="163">
        <v>12</v>
      </c>
      <c r="H161" t="s" s="15">
        <v>10</v>
      </c>
      <c r="I161" t="s" s="163">
        <v>12</v>
      </c>
      <c r="J161" t="s" s="15">
        <v>10</v>
      </c>
      <c r="K161" s="215"/>
      <c r="L161" t="s" s="15">
        <v>10</v>
      </c>
      <c r="M161" s="215"/>
      <c r="N161" t="s" s="15">
        <v>10</v>
      </c>
      <c r="O161" s="215"/>
      <c r="P161" t="s" s="15">
        <v>10</v>
      </c>
      <c r="Q161" s="215"/>
      <c r="R161" t="s" s="15">
        <v>10</v>
      </c>
      <c r="S161" s="215"/>
      <c r="T161" t="s" s="15">
        <v>10</v>
      </c>
      <c r="U161" s="34"/>
      <c r="V161" t="s" s="15">
        <v>10</v>
      </c>
      <c r="W161" s="34"/>
      <c r="X161" t="s" s="15">
        <v>10</v>
      </c>
      <c r="Y161" s="34"/>
      <c r="Z161" t="s" s="15">
        <v>10</v>
      </c>
      <c r="AA161" s="34"/>
      <c r="AB161" t="s" s="15">
        <v>10</v>
      </c>
      <c r="AC161" s="34"/>
      <c r="AD161" s="180"/>
      <c r="AE161" s="177"/>
      <c r="AF161" s="7"/>
    </row>
    <row r="162" ht="13.75" customHeight="1">
      <c r="A162" s="201"/>
      <c r="B162" t="s" s="15">
        <v>389</v>
      </c>
      <c r="C162" s="23"/>
      <c r="D162" s="23"/>
      <c r="E162" t="s" s="15">
        <v>14</v>
      </c>
      <c r="F162" t="s" s="15">
        <v>6</v>
      </c>
      <c r="G162" s="16">
        <v>2094</v>
      </c>
      <c r="H162" t="s" s="15">
        <v>6</v>
      </c>
      <c r="I162" s="16">
        <v>2202</v>
      </c>
      <c r="J162" t="s" s="15">
        <v>6</v>
      </c>
      <c r="K162" s="40"/>
      <c r="L162" t="s" s="15">
        <v>6</v>
      </c>
      <c r="M162" s="212"/>
      <c r="N162" t="s" s="15">
        <v>6</v>
      </c>
      <c r="O162" s="212"/>
      <c r="P162" t="s" s="15">
        <v>6</v>
      </c>
      <c r="Q162" s="212"/>
      <c r="R162" t="s" s="15">
        <v>6</v>
      </c>
      <c r="S162" s="212"/>
      <c r="T162" t="s" s="15">
        <v>6</v>
      </c>
      <c r="U162" s="18"/>
      <c r="V162" t="s" s="15">
        <v>6</v>
      </c>
      <c r="W162" s="18"/>
      <c r="X162" t="s" s="15">
        <v>6</v>
      </c>
      <c r="Y162" s="18"/>
      <c r="Z162" t="s" s="15">
        <v>6</v>
      </c>
      <c r="AA162" s="18"/>
      <c r="AB162" t="s" s="15">
        <v>6</v>
      </c>
      <c r="AC162" s="18"/>
      <c r="AD162" s="180"/>
      <c r="AE162" s="177"/>
      <c r="AF162" s="7"/>
    </row>
    <row r="163" ht="13.55" customHeight="1">
      <c r="A163" s="201"/>
      <c r="B163" t="s" s="15">
        <v>390</v>
      </c>
      <c r="C163" s="23"/>
      <c r="D163" s="23"/>
      <c r="E163" s="23"/>
      <c r="F163" t="s" s="15">
        <v>8</v>
      </c>
      <c r="G163" s="26">
        <v>800</v>
      </c>
      <c r="H163" t="s" s="15">
        <v>8</v>
      </c>
      <c r="I163" s="26">
        <v>800</v>
      </c>
      <c r="J163" t="s" s="15">
        <v>8</v>
      </c>
      <c r="K163" s="41"/>
      <c r="L163" t="s" s="15">
        <v>8</v>
      </c>
      <c r="M163" s="214"/>
      <c r="N163" t="s" s="15">
        <v>8</v>
      </c>
      <c r="O163" s="203"/>
      <c r="P163" t="s" s="15">
        <v>8</v>
      </c>
      <c r="Q163" s="203"/>
      <c r="R163" t="s" s="15">
        <v>8</v>
      </c>
      <c r="S163" s="203"/>
      <c r="T163" t="s" s="15">
        <v>8</v>
      </c>
      <c r="U163" s="27"/>
      <c r="V163" t="s" s="15">
        <v>8</v>
      </c>
      <c r="W163" s="27"/>
      <c r="X163" t="s" s="15">
        <v>8</v>
      </c>
      <c r="Y163" s="27"/>
      <c r="Z163" t="s" s="15">
        <v>8</v>
      </c>
      <c r="AA163" s="27"/>
      <c r="AB163" t="s" s="15">
        <v>8</v>
      </c>
      <c r="AC163" s="27"/>
      <c r="AD163" s="180" cm="1">
        <f t="array" ref="AD163">G163+I163+K163+M163+O163+Q163+S163+U163+W163+Y163+AA163+AC163</f>
      </c>
      <c r="AE163" s="183" cm="1">
        <f t="array" ref="AE163">700*11</f>
        <v>7700</v>
      </c>
      <c r="AF163" s="7" cm="1">
        <f t="array" ref="AF163">AE163-AD163</f>
      </c>
    </row>
    <row r="164" ht="13.55" customHeight="1">
      <c r="A164" s="204"/>
      <c r="B164" s="23"/>
      <c r="C164" s="23"/>
      <c r="D164" s="23"/>
      <c r="E164" s="23"/>
      <c r="F164" t="s" s="15">
        <v>10</v>
      </c>
      <c r="G164" t="s" s="163">
        <v>39</v>
      </c>
      <c r="H164" t="s" s="15">
        <v>10</v>
      </c>
      <c r="I164" t="s" s="163">
        <v>12</v>
      </c>
      <c r="J164" t="s" s="15">
        <v>10</v>
      </c>
      <c r="K164" s="45"/>
      <c r="L164" t="s" s="15">
        <v>10</v>
      </c>
      <c r="M164" s="215"/>
      <c r="N164" t="s" s="15">
        <v>10</v>
      </c>
      <c r="O164" s="215"/>
      <c r="P164" t="s" s="15">
        <v>10</v>
      </c>
      <c r="Q164" s="215"/>
      <c r="R164" t="s" s="15">
        <v>10</v>
      </c>
      <c r="S164" s="215"/>
      <c r="T164" t="s" s="15">
        <v>10</v>
      </c>
      <c r="U164" s="34"/>
      <c r="V164" t="s" s="15">
        <v>10</v>
      </c>
      <c r="W164" s="34"/>
      <c r="X164" t="s" s="15">
        <v>10</v>
      </c>
      <c r="Y164" s="34"/>
      <c r="Z164" t="s" s="15">
        <v>10</v>
      </c>
      <c r="AA164" s="34"/>
      <c r="AB164" t="s" s="15">
        <v>10</v>
      </c>
      <c r="AC164" s="34"/>
      <c r="AD164" s="213"/>
      <c r="AE164" s="177"/>
      <c r="AF164" s="7"/>
    </row>
    <row r="165" ht="13.55" customHeight="1">
      <c r="A165" s="23"/>
      <c r="B165" s="23"/>
      <c r="C165" s="23"/>
      <c r="D165" s="23"/>
      <c r="E165" s="23"/>
      <c r="F165" s="23"/>
      <c r="G165" s="216"/>
      <c r="H165" s="23"/>
      <c r="I165" s="216"/>
      <c r="J165" s="23"/>
      <c r="K165" s="216"/>
      <c r="L165" s="23"/>
      <c r="M165" s="216"/>
      <c r="N165" s="23"/>
      <c r="O165" s="216"/>
      <c r="P165" s="23"/>
      <c r="Q165" s="216"/>
      <c r="R165" s="23"/>
      <c r="S165" s="216"/>
      <c r="T165" s="23"/>
      <c r="U165" s="216"/>
      <c r="V165" s="23"/>
      <c r="W165" s="216"/>
      <c r="X165" s="23"/>
      <c r="Y165" s="216"/>
      <c r="Z165" s="23"/>
      <c r="AA165" s="216"/>
      <c r="AB165" s="23"/>
      <c r="AC165" s="216"/>
      <c r="AD165" s="213"/>
      <c r="AE165" s="177"/>
      <c r="AF165" s="7"/>
    </row>
    <row r="166" ht="13.75" customHeight="1">
      <c r="A166" s="200">
        <v>9</v>
      </c>
      <c r="B166" t="s" s="130">
        <v>391</v>
      </c>
      <c r="C166" s="23"/>
      <c r="D166" s="23"/>
      <c r="E166" t="s" s="15">
        <v>5</v>
      </c>
      <c r="F166" t="s" s="15">
        <v>6</v>
      </c>
      <c r="G166" s="16">
        <v>1133</v>
      </c>
      <c r="H166" t="s" s="15">
        <v>6</v>
      </c>
      <c r="I166" s="16">
        <v>3207</v>
      </c>
      <c r="J166" t="s" s="15">
        <v>6</v>
      </c>
      <c r="K166" s="212"/>
      <c r="L166" t="s" s="15">
        <v>6</v>
      </c>
      <c r="M166" s="212"/>
      <c r="N166" t="s" s="15">
        <v>6</v>
      </c>
      <c r="O166" s="212"/>
      <c r="P166" t="s" s="15">
        <v>6</v>
      </c>
      <c r="Q166" s="212"/>
      <c r="R166" t="s" s="15">
        <v>6</v>
      </c>
      <c r="S166" s="212"/>
      <c r="T166" t="s" s="15">
        <v>6</v>
      </c>
      <c r="U166" s="212"/>
      <c r="V166" t="s" s="15">
        <v>6</v>
      </c>
      <c r="W166" s="18"/>
      <c r="X166" t="s" s="15">
        <v>6</v>
      </c>
      <c r="Y166" s="18"/>
      <c r="Z166" t="s" s="15">
        <v>6</v>
      </c>
      <c r="AA166" s="18"/>
      <c r="AB166" t="s" s="15">
        <v>6</v>
      </c>
      <c r="AC166" s="18"/>
      <c r="AD166" s="213"/>
      <c r="AE166" s="177"/>
      <c r="AF166" s="7"/>
    </row>
    <row r="167" ht="13.55" customHeight="1">
      <c r="A167" s="201"/>
      <c r="B167" s="27"/>
      <c r="C167" s="9"/>
      <c r="D167" s="42"/>
      <c r="E167" s="23"/>
      <c r="F167" t="s" s="15">
        <v>8</v>
      </c>
      <c r="G167" s="26">
        <v>1000</v>
      </c>
      <c r="H167" t="s" s="15">
        <v>8</v>
      </c>
      <c r="I167" s="26">
        <v>1000</v>
      </c>
      <c r="J167" t="s" s="15">
        <v>8</v>
      </c>
      <c r="K167" s="214"/>
      <c r="L167" t="s" s="15">
        <v>8</v>
      </c>
      <c r="M167" s="214"/>
      <c r="N167" t="s" s="15">
        <v>8</v>
      </c>
      <c r="O167" s="203"/>
      <c r="P167" t="s" s="15">
        <v>8</v>
      </c>
      <c r="Q167" s="203"/>
      <c r="R167" t="s" s="15">
        <v>8</v>
      </c>
      <c r="S167" s="214"/>
      <c r="T167" t="s" s="15">
        <v>8</v>
      </c>
      <c r="U167" s="214"/>
      <c r="V167" t="s" s="15">
        <v>8</v>
      </c>
      <c r="W167" s="27"/>
      <c r="X167" t="s" s="15">
        <v>8</v>
      </c>
      <c r="Y167" s="27"/>
      <c r="Z167" t="s" s="15">
        <v>8</v>
      </c>
      <c r="AA167" s="27"/>
      <c r="AB167" t="s" s="15">
        <v>8</v>
      </c>
      <c r="AC167" s="27"/>
      <c r="AD167" s="182" cm="1">
        <f t="array" ref="AD167">G167+I167+K167+M167+O167+Q167+S167+U167+W167+Y167+AA167+AC167</f>
        <v>2000</v>
      </c>
      <c r="AE167" s="183" cm="1">
        <f t="array" ref="AE167">900*12</f>
        <v>10800</v>
      </c>
      <c r="AF167" s="51" cm="1">
        <f t="array" ref="AF167">AE167-AD167</f>
        <v>8800</v>
      </c>
    </row>
    <row r="168" ht="13.55" customHeight="1">
      <c r="A168" s="201"/>
      <c r="B168" s="27"/>
      <c r="C168" t="s" s="8">
        <v>9</v>
      </c>
      <c r="D168" s="25">
        <v>1000</v>
      </c>
      <c r="E168" s="46"/>
      <c r="F168" t="s" s="15">
        <v>10</v>
      </c>
      <c r="G168" t="s" s="163">
        <v>31</v>
      </c>
      <c r="H168" t="s" s="15">
        <v>10</v>
      </c>
      <c r="I168" t="s" s="163">
        <v>24</v>
      </c>
      <c r="J168" t="s" s="15">
        <v>10</v>
      </c>
      <c r="K168" s="215"/>
      <c r="L168" t="s" s="15">
        <v>10</v>
      </c>
      <c r="M168" s="215"/>
      <c r="N168" t="s" s="15">
        <v>10</v>
      </c>
      <c r="O168" s="215"/>
      <c r="P168" t="s" s="15">
        <v>10</v>
      </c>
      <c r="Q168" s="215"/>
      <c r="R168" t="s" s="15">
        <v>10</v>
      </c>
      <c r="S168" s="215"/>
      <c r="T168" t="s" s="15">
        <v>10</v>
      </c>
      <c r="U168" s="215"/>
      <c r="V168" t="s" s="15">
        <v>10</v>
      </c>
      <c r="W168" s="34"/>
      <c r="X168" t="s" s="15">
        <v>10</v>
      </c>
      <c r="Y168" s="34"/>
      <c r="Z168" t="s" s="15">
        <v>10</v>
      </c>
      <c r="AA168" s="34"/>
      <c r="AB168" t="s" s="15">
        <v>10</v>
      </c>
      <c r="AC168" s="34"/>
      <c r="AD168" s="180"/>
      <c r="AE168" s="177"/>
      <c r="AF168" s="7"/>
    </row>
    <row r="169" ht="13.75" customHeight="1">
      <c r="A169" s="201"/>
      <c r="B169" t="s" s="15">
        <v>392</v>
      </c>
      <c r="C169" s="23"/>
      <c r="D169" s="23"/>
      <c r="E169" t="s" s="15">
        <v>14</v>
      </c>
      <c r="F169" t="s" s="15">
        <v>6</v>
      </c>
      <c r="G169" s="16">
        <v>2056</v>
      </c>
      <c r="H169" t="s" s="15">
        <v>6</v>
      </c>
      <c r="I169" s="16">
        <v>2181</v>
      </c>
      <c r="J169" t="s" s="15">
        <v>6</v>
      </c>
      <c r="K169" s="40"/>
      <c r="L169" t="s" s="15">
        <v>6</v>
      </c>
      <c r="M169" s="212"/>
      <c r="N169" t="s" s="15">
        <v>6</v>
      </c>
      <c r="O169" s="212"/>
      <c r="P169" t="s" s="15">
        <v>6</v>
      </c>
      <c r="Q169" s="212"/>
      <c r="R169" t="s" s="15">
        <v>6</v>
      </c>
      <c r="S169" s="212"/>
      <c r="T169" t="s" s="15">
        <v>6</v>
      </c>
      <c r="U169" s="212"/>
      <c r="V169" t="s" s="15">
        <v>6</v>
      </c>
      <c r="W169" s="18"/>
      <c r="X169" t="s" s="15">
        <v>6</v>
      </c>
      <c r="Y169" s="18"/>
      <c r="Z169" t="s" s="15">
        <v>6</v>
      </c>
      <c r="AA169" s="18"/>
      <c r="AB169" t="s" s="15">
        <v>6</v>
      </c>
      <c r="AC169" s="18"/>
      <c r="AD169" s="180"/>
      <c r="AE169" s="177"/>
      <c r="AF169" s="7"/>
    </row>
    <row r="170" ht="13.55" customHeight="1">
      <c r="A170" s="201"/>
      <c r="B170" t="s" s="15">
        <v>393</v>
      </c>
      <c r="C170" s="23"/>
      <c r="D170" s="23"/>
      <c r="E170" s="23"/>
      <c r="F170" t="s" s="15">
        <v>8</v>
      </c>
      <c r="G170" s="26">
        <v>600</v>
      </c>
      <c r="H170" t="s" s="15">
        <v>8</v>
      </c>
      <c r="I170" s="26">
        <v>600</v>
      </c>
      <c r="J170" t="s" s="15">
        <v>8</v>
      </c>
      <c r="K170" s="41"/>
      <c r="L170" t="s" s="15">
        <v>8</v>
      </c>
      <c r="M170" s="214"/>
      <c r="N170" t="s" s="15">
        <v>8</v>
      </c>
      <c r="O170" s="203"/>
      <c r="P170" t="s" s="15">
        <v>8</v>
      </c>
      <c r="Q170" s="214"/>
      <c r="R170" t="s" s="15">
        <v>8</v>
      </c>
      <c r="S170" s="214"/>
      <c r="T170" t="s" s="15">
        <v>8</v>
      </c>
      <c r="U170" s="214"/>
      <c r="V170" t="s" s="15">
        <v>8</v>
      </c>
      <c r="W170" s="27"/>
      <c r="X170" t="s" s="15">
        <v>8</v>
      </c>
      <c r="Y170" s="27"/>
      <c r="Z170" t="s" s="15">
        <v>8</v>
      </c>
      <c r="AA170" s="27"/>
      <c r="AB170" t="s" s="15">
        <v>8</v>
      </c>
      <c r="AC170" s="27"/>
      <c r="AD170" s="180" cm="1">
        <f t="array" ref="AD170">G170+I170+K170+M170+O170+Q170+S170+U170+W170+Y170+AA170+AC170</f>
      </c>
      <c r="AE170" s="183" cm="1">
        <f t="array" ref="AE170">500*11</f>
        <v>5500</v>
      </c>
      <c r="AF170" s="7" cm="1">
        <f t="array" ref="AF170">AE170-AD170</f>
      </c>
    </row>
    <row r="171" ht="13.55" customHeight="1">
      <c r="A171" s="204"/>
      <c r="B171" s="23"/>
      <c r="C171" s="23"/>
      <c r="D171" s="23"/>
      <c r="E171" s="23"/>
      <c r="F171" t="s" s="15">
        <v>10</v>
      </c>
      <c r="G171" t="s" s="163">
        <v>31</v>
      </c>
      <c r="H171" t="s" s="15">
        <v>10</v>
      </c>
      <c r="I171" t="s" s="163">
        <v>24</v>
      </c>
      <c r="J171" t="s" s="15">
        <v>10</v>
      </c>
      <c r="K171" s="45"/>
      <c r="L171" t="s" s="15">
        <v>10</v>
      </c>
      <c r="M171" s="215"/>
      <c r="N171" t="s" s="15">
        <v>10</v>
      </c>
      <c r="O171" s="215"/>
      <c r="P171" t="s" s="15">
        <v>10</v>
      </c>
      <c r="Q171" s="215"/>
      <c r="R171" t="s" s="15">
        <v>10</v>
      </c>
      <c r="S171" s="215"/>
      <c r="T171" t="s" s="15">
        <v>10</v>
      </c>
      <c r="U171" s="215"/>
      <c r="V171" t="s" s="15">
        <v>10</v>
      </c>
      <c r="W171" s="34"/>
      <c r="X171" t="s" s="15">
        <v>10</v>
      </c>
      <c r="Y171" s="34"/>
      <c r="Z171" t="s" s="15">
        <v>10</v>
      </c>
      <c r="AA171" s="34"/>
      <c r="AB171" t="s" s="15">
        <v>10</v>
      </c>
      <c r="AC171" s="34"/>
      <c r="AD171" s="213"/>
      <c r="AE171" s="177"/>
      <c r="AF171" s="7"/>
    </row>
    <row r="172" ht="13.55" customHeight="1">
      <c r="A172" s="23"/>
      <c r="B172" s="23"/>
      <c r="C172" s="23"/>
      <c r="D172" s="23"/>
      <c r="E172" s="23"/>
      <c r="F172" s="23"/>
      <c r="G172" s="216"/>
      <c r="H172" s="23"/>
      <c r="I172" s="216"/>
      <c r="J172" s="23"/>
      <c r="K172" s="216"/>
      <c r="L172" s="23"/>
      <c r="M172" s="216"/>
      <c r="N172" s="23"/>
      <c r="O172" s="216"/>
      <c r="P172" s="23"/>
      <c r="Q172" s="216"/>
      <c r="R172" s="23"/>
      <c r="S172" s="216"/>
      <c r="T172" s="23"/>
      <c r="U172" s="216"/>
      <c r="V172" s="23"/>
      <c r="W172" s="216"/>
      <c r="X172" s="23"/>
      <c r="Y172" s="216"/>
      <c r="Z172" s="23"/>
      <c r="AA172" s="216"/>
      <c r="AB172" s="23"/>
      <c r="AC172" s="216"/>
      <c r="AD172" s="213"/>
      <c r="AE172" s="177"/>
      <c r="AF172" s="7"/>
    </row>
    <row r="173" ht="13.75" customHeight="1">
      <c r="A173" s="200">
        <v>10</v>
      </c>
      <c r="B173" t="s" s="130">
        <v>394</v>
      </c>
      <c r="C173" s="23"/>
      <c r="D173" s="23"/>
      <c r="E173" t="s" s="15">
        <v>5</v>
      </c>
      <c r="F173" t="s" s="15">
        <v>6</v>
      </c>
      <c r="G173" s="16">
        <v>1214</v>
      </c>
      <c r="H173" t="s" s="15">
        <v>6</v>
      </c>
      <c r="I173" s="212"/>
      <c r="J173" t="s" s="15">
        <v>6</v>
      </c>
      <c r="K173" s="212"/>
      <c r="L173" t="s" s="15">
        <v>6</v>
      </c>
      <c r="M173" s="212"/>
      <c r="N173" t="s" s="15">
        <v>6</v>
      </c>
      <c r="O173" s="212"/>
      <c r="P173" t="s" s="15">
        <v>6</v>
      </c>
      <c r="Q173" s="212"/>
      <c r="R173" t="s" s="15">
        <v>6</v>
      </c>
      <c r="S173" s="212"/>
      <c r="T173" t="s" s="15">
        <v>6</v>
      </c>
      <c r="U173" s="18"/>
      <c r="V173" t="s" s="15">
        <v>6</v>
      </c>
      <c r="W173" s="18"/>
      <c r="X173" t="s" s="15">
        <v>6</v>
      </c>
      <c r="Y173" s="18"/>
      <c r="Z173" t="s" s="15">
        <v>6</v>
      </c>
      <c r="AA173" s="18"/>
      <c r="AB173" t="s" s="15">
        <v>6</v>
      </c>
      <c r="AC173" s="18"/>
      <c r="AD173" s="213"/>
      <c r="AE173" s="177"/>
      <c r="AF173" s="7"/>
    </row>
    <row r="174" ht="13.55" customHeight="1">
      <c r="A174" s="201"/>
      <c r="B174" s="27"/>
      <c r="C174" s="27"/>
      <c r="D174" s="27"/>
      <c r="E174" s="23"/>
      <c r="F174" t="s" s="15">
        <v>8</v>
      </c>
      <c r="G174" s="26">
        <v>1000</v>
      </c>
      <c r="H174" t="s" s="15">
        <v>8</v>
      </c>
      <c r="I174" s="214"/>
      <c r="J174" t="s" s="15">
        <v>8</v>
      </c>
      <c r="K174" s="214"/>
      <c r="L174" t="s" s="15">
        <v>8</v>
      </c>
      <c r="M174" s="214"/>
      <c r="N174" t="s" s="15">
        <v>8</v>
      </c>
      <c r="O174" s="203"/>
      <c r="P174" t="s" s="15">
        <v>8</v>
      </c>
      <c r="Q174" s="214"/>
      <c r="R174" t="s" s="15">
        <v>8</v>
      </c>
      <c r="S174" s="214"/>
      <c r="T174" t="s" s="15">
        <v>8</v>
      </c>
      <c r="U174" s="27"/>
      <c r="V174" t="s" s="15">
        <v>8</v>
      </c>
      <c r="W174" s="27"/>
      <c r="X174" t="s" s="15">
        <v>8</v>
      </c>
      <c r="Y174" s="27"/>
      <c r="Z174" t="s" s="15">
        <v>8</v>
      </c>
      <c r="AA174" s="27"/>
      <c r="AB174" t="s" s="15">
        <v>8</v>
      </c>
      <c r="AC174" s="27"/>
      <c r="AD174" s="182" cm="1">
        <f t="array" ref="AD174">G174+I174+K174+M174+O174+Q174+S174+U174+W174+Y174+AA174+AC174</f>
        <v>1000</v>
      </c>
      <c r="AE174" s="183" cm="1">
        <f t="array" ref="AE174">900*12</f>
        <v>10800</v>
      </c>
      <c r="AF174" s="51" cm="1">
        <f t="array" ref="AF174">AE174-AD174</f>
        <v>9800</v>
      </c>
    </row>
    <row r="175" ht="13.55" customHeight="1">
      <c r="A175" s="201"/>
      <c r="B175" s="27"/>
      <c r="C175" t="s" s="8">
        <v>395</v>
      </c>
      <c r="D175" s="26">
        <v>1000</v>
      </c>
      <c r="E175" s="23"/>
      <c r="F175" t="s" s="15">
        <v>10</v>
      </c>
      <c r="G175" t="s" s="163">
        <v>135</v>
      </c>
      <c r="H175" t="s" s="15">
        <v>10</v>
      </c>
      <c r="I175" s="215"/>
      <c r="J175" t="s" s="15">
        <v>10</v>
      </c>
      <c r="K175" s="215"/>
      <c r="L175" t="s" s="15">
        <v>10</v>
      </c>
      <c r="M175" s="215"/>
      <c r="N175" t="s" s="15">
        <v>10</v>
      </c>
      <c r="O175" s="215"/>
      <c r="P175" t="s" s="15">
        <v>10</v>
      </c>
      <c r="Q175" s="215"/>
      <c r="R175" t="s" s="15">
        <v>10</v>
      </c>
      <c r="S175" s="215"/>
      <c r="T175" t="s" s="15">
        <v>10</v>
      </c>
      <c r="U175" s="34"/>
      <c r="V175" t="s" s="15">
        <v>10</v>
      </c>
      <c r="W175" s="34"/>
      <c r="X175" t="s" s="15">
        <v>10</v>
      </c>
      <c r="Y175" s="34"/>
      <c r="Z175" t="s" s="15">
        <v>10</v>
      </c>
      <c r="AA175" s="34"/>
      <c r="AB175" t="s" s="15">
        <v>10</v>
      </c>
      <c r="AC175" s="34"/>
      <c r="AD175" s="180"/>
      <c r="AE175" s="177"/>
      <c r="AF175" s="7"/>
    </row>
    <row r="176" ht="13.75" customHeight="1">
      <c r="A176" s="201"/>
      <c r="B176" t="s" s="15">
        <v>396</v>
      </c>
      <c r="C176" s="23"/>
      <c r="D176" s="23"/>
      <c r="E176" t="s" s="15">
        <v>14</v>
      </c>
      <c r="F176" t="s" s="15">
        <v>6</v>
      </c>
      <c r="G176" s="16">
        <v>2121</v>
      </c>
      <c r="H176" t="s" s="15">
        <v>6</v>
      </c>
      <c r="I176" s="212"/>
      <c r="J176" t="s" s="15">
        <v>6</v>
      </c>
      <c r="K176" s="40"/>
      <c r="L176" t="s" s="15">
        <v>6</v>
      </c>
      <c r="M176" s="212"/>
      <c r="N176" t="s" s="15">
        <v>6</v>
      </c>
      <c r="O176" s="212"/>
      <c r="P176" t="s" s="15">
        <v>6</v>
      </c>
      <c r="Q176" s="212"/>
      <c r="R176" t="s" s="15">
        <v>6</v>
      </c>
      <c r="S176" s="212"/>
      <c r="T176" t="s" s="15">
        <v>6</v>
      </c>
      <c r="U176" s="18"/>
      <c r="V176" t="s" s="15">
        <v>6</v>
      </c>
      <c r="W176" s="18"/>
      <c r="X176" t="s" s="15">
        <v>6</v>
      </c>
      <c r="Y176" s="18"/>
      <c r="Z176" t="s" s="15">
        <v>6</v>
      </c>
      <c r="AA176" s="18"/>
      <c r="AB176" t="s" s="15">
        <v>6</v>
      </c>
      <c r="AC176" s="18"/>
      <c r="AD176" s="180"/>
      <c r="AE176" s="177"/>
      <c r="AF176" s="7"/>
    </row>
    <row r="177" ht="13.55" customHeight="1">
      <c r="A177" s="201"/>
      <c r="B177" t="s" s="15">
        <v>397</v>
      </c>
      <c r="C177" s="23"/>
      <c r="D177" s="23"/>
      <c r="E177" s="23"/>
      <c r="F177" t="s" s="15">
        <v>8</v>
      </c>
      <c r="G177" s="26">
        <v>800</v>
      </c>
      <c r="H177" t="s" s="15">
        <v>8</v>
      </c>
      <c r="I177" s="214"/>
      <c r="J177" t="s" s="15">
        <v>8</v>
      </c>
      <c r="K177" s="41"/>
      <c r="L177" t="s" s="15">
        <v>8</v>
      </c>
      <c r="M177" s="214"/>
      <c r="N177" t="s" s="15">
        <v>8</v>
      </c>
      <c r="O177" s="203"/>
      <c r="P177" t="s" s="15">
        <v>8</v>
      </c>
      <c r="Q177" s="214"/>
      <c r="R177" t="s" s="15">
        <v>8</v>
      </c>
      <c r="S177" s="214"/>
      <c r="T177" t="s" s="15">
        <v>8</v>
      </c>
      <c r="U177" s="27"/>
      <c r="V177" t="s" s="15">
        <v>8</v>
      </c>
      <c r="W177" s="27"/>
      <c r="X177" t="s" s="15">
        <v>8</v>
      </c>
      <c r="Y177" s="27"/>
      <c r="Z177" t="s" s="15">
        <v>8</v>
      </c>
      <c r="AA177" s="27"/>
      <c r="AB177" t="s" s="15">
        <v>8</v>
      </c>
      <c r="AC177" s="27"/>
      <c r="AD177" s="180" cm="1">
        <f t="array" ref="AD177">G177+I177+K177+M177+O177+Q177+S177+U177+W177+Y177+AA177+AC177</f>
      </c>
      <c r="AE177" s="183" cm="1">
        <f t="array" ref="AE177">700*11</f>
        <v>7700</v>
      </c>
      <c r="AF177" s="7" cm="1">
        <f t="array" ref="AF177">AE177-AD177</f>
      </c>
    </row>
    <row r="178" ht="13.55" customHeight="1">
      <c r="A178" s="204"/>
      <c r="B178" s="23"/>
      <c r="C178" s="23"/>
      <c r="D178" s="23"/>
      <c r="E178" s="23"/>
      <c r="F178" t="s" s="15">
        <v>10</v>
      </c>
      <c r="G178" t="s" s="163">
        <v>135</v>
      </c>
      <c r="H178" t="s" s="15">
        <v>10</v>
      </c>
      <c r="I178" s="215"/>
      <c r="J178" t="s" s="15">
        <v>10</v>
      </c>
      <c r="K178" s="45"/>
      <c r="L178" t="s" s="15">
        <v>10</v>
      </c>
      <c r="M178" s="215"/>
      <c r="N178" t="s" s="15">
        <v>10</v>
      </c>
      <c r="O178" s="215"/>
      <c r="P178" t="s" s="15">
        <v>10</v>
      </c>
      <c r="Q178" s="215"/>
      <c r="R178" t="s" s="15">
        <v>10</v>
      </c>
      <c r="S178" s="215"/>
      <c r="T178" t="s" s="15">
        <v>10</v>
      </c>
      <c r="U178" s="34"/>
      <c r="V178" t="s" s="15">
        <v>10</v>
      </c>
      <c r="W178" s="34"/>
      <c r="X178" t="s" s="15">
        <v>10</v>
      </c>
      <c r="Y178" s="34"/>
      <c r="Z178" t="s" s="15">
        <v>10</v>
      </c>
      <c r="AA178" s="34"/>
      <c r="AB178" t="s" s="15">
        <v>10</v>
      </c>
      <c r="AC178" s="34"/>
      <c r="AD178" s="213"/>
      <c r="AE178" s="177"/>
      <c r="AF178" s="7"/>
    </row>
    <row r="179" ht="13.55" customHeight="1">
      <c r="A179" s="23"/>
      <c r="B179" s="23"/>
      <c r="C179" s="23"/>
      <c r="D179" s="23"/>
      <c r="E179" s="23"/>
      <c r="F179" s="23"/>
      <c r="G179" s="216"/>
      <c r="H179" s="23"/>
      <c r="I179" s="216"/>
      <c r="J179" s="23"/>
      <c r="K179" s="216"/>
      <c r="L179" s="23"/>
      <c r="M179" s="216"/>
      <c r="N179" s="23"/>
      <c r="O179" s="216"/>
      <c r="P179" s="23"/>
      <c r="Q179" s="216"/>
      <c r="R179" s="23"/>
      <c r="S179" s="216"/>
      <c r="T179" s="23"/>
      <c r="U179" s="216"/>
      <c r="V179" s="23"/>
      <c r="W179" s="216"/>
      <c r="X179" s="23"/>
      <c r="Y179" s="216"/>
      <c r="Z179" s="23"/>
      <c r="AA179" s="216"/>
      <c r="AB179" s="23"/>
      <c r="AC179" s="216"/>
      <c r="AD179" s="213"/>
      <c r="AE179" s="177"/>
      <c r="AF179" s="7"/>
    </row>
    <row r="180" ht="13.75" customHeight="1">
      <c r="A180" s="200">
        <v>11</v>
      </c>
      <c r="B180" t="s" s="130">
        <v>398</v>
      </c>
      <c r="C180" s="23"/>
      <c r="D180" s="23"/>
      <c r="E180" t="s" s="15">
        <v>5</v>
      </c>
      <c r="F180" t="s" s="15">
        <v>6</v>
      </c>
      <c r="G180" s="16">
        <v>1148</v>
      </c>
      <c r="H180" t="s" s="15">
        <v>6</v>
      </c>
      <c r="I180" s="16">
        <v>3276</v>
      </c>
      <c r="J180" t="s" s="15">
        <v>6</v>
      </c>
      <c r="K180" s="16">
        <v>3276</v>
      </c>
      <c r="L180" t="s" s="15">
        <v>6</v>
      </c>
      <c r="M180" s="212"/>
      <c r="N180" t="s" s="15">
        <v>6</v>
      </c>
      <c r="O180" s="212"/>
      <c r="P180" t="s" s="15">
        <v>6</v>
      </c>
      <c r="Q180" s="212"/>
      <c r="R180" t="s" s="15">
        <v>6</v>
      </c>
      <c r="S180" s="212"/>
      <c r="T180" t="s" s="15">
        <v>6</v>
      </c>
      <c r="U180" s="212"/>
      <c r="V180" t="s" s="15">
        <v>6</v>
      </c>
      <c r="W180" s="18"/>
      <c r="X180" t="s" s="15">
        <v>6</v>
      </c>
      <c r="Y180" s="18"/>
      <c r="Z180" t="s" s="15">
        <v>6</v>
      </c>
      <c r="AA180" s="18"/>
      <c r="AB180" t="s" s="15">
        <v>6</v>
      </c>
      <c r="AC180" s="18"/>
      <c r="AD180" s="213"/>
      <c r="AE180" s="177"/>
      <c r="AF180" s="7"/>
    </row>
    <row r="181" ht="13.55" customHeight="1">
      <c r="A181" s="201"/>
      <c r="B181" s="56"/>
      <c r="C181" s="27"/>
      <c r="D181" s="27"/>
      <c r="E181" s="23"/>
      <c r="F181" t="s" s="15">
        <v>8</v>
      </c>
      <c r="G181" s="26">
        <v>1000</v>
      </c>
      <c r="H181" t="s" s="15">
        <v>8</v>
      </c>
      <c r="I181" s="26">
        <v>1000</v>
      </c>
      <c r="J181" t="s" s="15">
        <v>8</v>
      </c>
      <c r="K181" s="26">
        <v>1000</v>
      </c>
      <c r="L181" t="s" s="15">
        <v>8</v>
      </c>
      <c r="M181" s="214"/>
      <c r="N181" t="s" s="15">
        <v>8</v>
      </c>
      <c r="O181" s="203"/>
      <c r="P181" t="s" s="15">
        <v>8</v>
      </c>
      <c r="Q181" s="214"/>
      <c r="R181" t="s" s="15">
        <v>8</v>
      </c>
      <c r="S181" s="214"/>
      <c r="T181" t="s" s="15">
        <v>8</v>
      </c>
      <c r="U181" s="214"/>
      <c r="V181" t="s" s="15">
        <v>8</v>
      </c>
      <c r="W181" s="27"/>
      <c r="X181" t="s" s="15">
        <v>8</v>
      </c>
      <c r="Y181" s="27"/>
      <c r="Z181" t="s" s="15">
        <v>8</v>
      </c>
      <c r="AA181" s="27"/>
      <c r="AB181" t="s" s="15">
        <v>8</v>
      </c>
      <c r="AC181" s="27"/>
      <c r="AD181" s="182" cm="1">
        <f t="array" ref="AD181">G181+I181+K181+M181+O181+Q181+S181+U181+W181+Y181+AA181+AC181</f>
        <v>3000</v>
      </c>
      <c r="AE181" s="183" cm="1">
        <f t="array" ref="AE181">900*12</f>
        <v>10800</v>
      </c>
      <c r="AF181" s="51" cm="1">
        <f t="array" ref="AF181">AE181-AD181</f>
        <v>7800</v>
      </c>
    </row>
    <row r="182" ht="13.55" customHeight="1">
      <c r="A182" s="201"/>
      <c r="B182" s="27"/>
      <c r="C182" t="s" s="8">
        <v>9</v>
      </c>
      <c r="D182" s="26">
        <v>1000</v>
      </c>
      <c r="E182" s="23"/>
      <c r="F182" t="s" s="15">
        <v>10</v>
      </c>
      <c r="G182" t="s" s="163">
        <v>81</v>
      </c>
      <c r="H182" t="s" s="15">
        <v>10</v>
      </c>
      <c r="I182" t="s" s="163">
        <v>365</v>
      </c>
      <c r="J182" t="s" s="15">
        <v>10</v>
      </c>
      <c r="K182" t="s" s="163">
        <v>365</v>
      </c>
      <c r="L182" t="s" s="15">
        <v>10</v>
      </c>
      <c r="M182" s="215"/>
      <c r="N182" t="s" s="15">
        <v>10</v>
      </c>
      <c r="O182" s="215"/>
      <c r="P182" t="s" s="15">
        <v>10</v>
      </c>
      <c r="Q182" s="215"/>
      <c r="R182" t="s" s="15">
        <v>10</v>
      </c>
      <c r="S182" s="215"/>
      <c r="T182" t="s" s="15">
        <v>10</v>
      </c>
      <c r="U182" s="215"/>
      <c r="V182" t="s" s="15">
        <v>10</v>
      </c>
      <c r="W182" s="34"/>
      <c r="X182" t="s" s="15">
        <v>10</v>
      </c>
      <c r="Y182" s="34"/>
      <c r="Z182" t="s" s="15">
        <v>10</v>
      </c>
      <c r="AA182" s="34"/>
      <c r="AB182" t="s" s="15">
        <v>10</v>
      </c>
      <c r="AC182" s="34"/>
      <c r="AD182" s="180"/>
      <c r="AE182" s="177"/>
      <c r="AF182" s="7"/>
    </row>
    <row r="183" ht="13.55" customHeight="1">
      <c r="A183" s="201"/>
      <c r="B183" t="s" s="15">
        <v>399</v>
      </c>
      <c r="C183" s="27"/>
      <c r="D183" s="27"/>
      <c r="E183" t="s" s="15">
        <v>14</v>
      </c>
      <c r="F183" t="s" s="15">
        <v>6</v>
      </c>
      <c r="G183" s="216"/>
      <c r="H183" t="s" s="15">
        <v>6</v>
      </c>
      <c r="I183" s="216"/>
      <c r="J183" t="s" s="15">
        <v>6</v>
      </c>
      <c r="K183" s="216"/>
      <c r="L183" t="s" s="15">
        <v>6</v>
      </c>
      <c r="M183" s="216"/>
      <c r="N183" t="s" s="15">
        <v>6</v>
      </c>
      <c r="O183" s="216"/>
      <c r="P183" t="s" s="15">
        <v>6</v>
      </c>
      <c r="Q183" s="216"/>
      <c r="R183" t="s" s="15">
        <v>6</v>
      </c>
      <c r="S183" s="216"/>
      <c r="T183" t="s" s="15">
        <v>6</v>
      </c>
      <c r="U183" s="216"/>
      <c r="V183" t="s" s="15">
        <v>6</v>
      </c>
      <c r="W183" s="216"/>
      <c r="X183" t="s" s="15">
        <v>6</v>
      </c>
      <c r="Y183" s="216"/>
      <c r="Z183" t="s" s="15">
        <v>6</v>
      </c>
      <c r="AA183" s="216"/>
      <c r="AB183" t="s" s="15">
        <v>6</v>
      </c>
      <c r="AC183" s="216"/>
      <c r="AD183" s="180"/>
      <c r="AE183" s="177"/>
      <c r="AF183" s="7"/>
    </row>
    <row r="184" ht="13.55" customHeight="1">
      <c r="A184" s="201"/>
      <c r="B184" t="s" s="15">
        <v>400</v>
      </c>
      <c r="C184" s="23"/>
      <c r="D184" s="23"/>
      <c r="E184" s="23"/>
      <c r="F184" t="s" s="15">
        <v>8</v>
      </c>
      <c r="G184" s="216"/>
      <c r="H184" t="s" s="15">
        <v>8</v>
      </c>
      <c r="I184" s="216"/>
      <c r="J184" t="s" s="15">
        <v>8</v>
      </c>
      <c r="K184" s="216"/>
      <c r="L184" t="s" s="15">
        <v>8</v>
      </c>
      <c r="M184" s="216"/>
      <c r="N184" t="s" s="15">
        <v>8</v>
      </c>
      <c r="O184" s="216"/>
      <c r="P184" t="s" s="15">
        <v>8</v>
      </c>
      <c r="Q184" s="216"/>
      <c r="R184" t="s" s="15">
        <v>8</v>
      </c>
      <c r="S184" s="216"/>
      <c r="T184" t="s" s="15">
        <v>8</v>
      </c>
      <c r="U184" s="216"/>
      <c r="V184" t="s" s="15">
        <v>8</v>
      </c>
      <c r="W184" s="216"/>
      <c r="X184" t="s" s="15">
        <v>8</v>
      </c>
      <c r="Y184" s="216"/>
      <c r="Z184" t="s" s="15">
        <v>8</v>
      </c>
      <c r="AA184" s="216"/>
      <c r="AB184" t="s" s="15">
        <v>8</v>
      </c>
      <c r="AC184" s="216"/>
      <c r="AD184" s="182" cm="1">
        <f t="array" ref="AD184">G184+I184+K184+M184+O184+Q184+S184+U184+W184+Y184+AA184+AC184</f>
        <v>0</v>
      </c>
      <c r="AE184" s="177"/>
      <c r="AF184" s="7"/>
    </row>
    <row r="185" ht="13.55" customHeight="1">
      <c r="A185" s="204"/>
      <c r="B185" s="23"/>
      <c r="C185" s="23"/>
      <c r="D185" s="23"/>
      <c r="E185" s="23"/>
      <c r="F185" t="s" s="15">
        <v>10</v>
      </c>
      <c r="G185" s="216"/>
      <c r="H185" t="s" s="15">
        <v>10</v>
      </c>
      <c r="I185" s="216"/>
      <c r="J185" t="s" s="15">
        <v>10</v>
      </c>
      <c r="K185" s="216"/>
      <c r="L185" t="s" s="15">
        <v>10</v>
      </c>
      <c r="M185" s="216"/>
      <c r="N185" t="s" s="15">
        <v>10</v>
      </c>
      <c r="O185" s="216"/>
      <c r="P185" t="s" s="15">
        <v>10</v>
      </c>
      <c r="Q185" s="216"/>
      <c r="R185" t="s" s="15">
        <v>10</v>
      </c>
      <c r="S185" s="216"/>
      <c r="T185" t="s" s="15">
        <v>10</v>
      </c>
      <c r="U185" s="216"/>
      <c r="V185" t="s" s="15">
        <v>10</v>
      </c>
      <c r="W185" s="216"/>
      <c r="X185" t="s" s="15">
        <v>10</v>
      </c>
      <c r="Y185" s="216"/>
      <c r="Z185" t="s" s="15">
        <v>10</v>
      </c>
      <c r="AA185" s="216"/>
      <c r="AB185" t="s" s="15">
        <v>10</v>
      </c>
      <c r="AC185" s="216"/>
      <c r="AD185" s="213"/>
      <c r="AE185" s="177"/>
      <c r="AF185" s="7"/>
    </row>
    <row r="186" ht="13.55" customHeight="1">
      <c r="A186" s="23"/>
      <c r="B186" s="23"/>
      <c r="C186" s="23"/>
      <c r="D186" s="23"/>
      <c r="E186" s="23"/>
      <c r="F186" s="23"/>
      <c r="G186" s="216"/>
      <c r="H186" s="23"/>
      <c r="I186" s="216"/>
      <c r="J186" s="23"/>
      <c r="K186" s="216"/>
      <c r="L186" s="23"/>
      <c r="M186" s="216"/>
      <c r="N186" s="23"/>
      <c r="O186" s="216"/>
      <c r="P186" s="23"/>
      <c r="Q186" s="216"/>
      <c r="R186" s="23"/>
      <c r="S186" s="216"/>
      <c r="T186" s="23"/>
      <c r="U186" s="216"/>
      <c r="V186" s="23"/>
      <c r="W186" s="216"/>
      <c r="X186" s="23"/>
      <c r="Y186" s="216"/>
      <c r="Z186" s="23"/>
      <c r="AA186" s="216"/>
      <c r="AB186" s="23"/>
      <c r="AC186" s="216"/>
      <c r="AD186" s="213"/>
      <c r="AE186" s="177"/>
      <c r="AF186" s="7"/>
    </row>
    <row r="187" ht="13.75" customHeight="1">
      <c r="A187" s="200">
        <v>12</v>
      </c>
      <c r="B187" t="s" s="130">
        <v>401</v>
      </c>
      <c r="C187" s="23"/>
      <c r="D187" s="23"/>
      <c r="E187" t="s" s="15">
        <v>5</v>
      </c>
      <c r="F187" t="s" s="15">
        <v>6</v>
      </c>
      <c r="G187" s="16">
        <v>1080</v>
      </c>
      <c r="H187" t="s" s="15">
        <v>6</v>
      </c>
      <c r="I187" s="16">
        <v>1080</v>
      </c>
      <c r="J187" t="s" s="15">
        <v>6</v>
      </c>
      <c r="K187" s="16">
        <v>1080</v>
      </c>
      <c r="L187" t="s" s="15">
        <v>6</v>
      </c>
      <c r="M187" s="16">
        <v>3262</v>
      </c>
      <c r="N187" t="s" s="15">
        <v>6</v>
      </c>
      <c r="O187" s="16">
        <v>3262</v>
      </c>
      <c r="P187" t="s" s="15">
        <v>6</v>
      </c>
      <c r="Q187" s="16">
        <v>3262</v>
      </c>
      <c r="R187" t="s" s="15">
        <v>6</v>
      </c>
      <c r="S187" s="212"/>
      <c r="T187" t="s" s="15">
        <v>6</v>
      </c>
      <c r="U187" s="212"/>
      <c r="V187" t="s" s="15">
        <v>6</v>
      </c>
      <c r="W187" s="212"/>
      <c r="X187" t="s" s="15">
        <v>6</v>
      </c>
      <c r="Y187" s="18"/>
      <c r="Z187" t="s" s="15">
        <v>6</v>
      </c>
      <c r="AA187" s="18"/>
      <c r="AB187" t="s" s="15">
        <v>6</v>
      </c>
      <c r="AC187" s="18"/>
      <c r="AD187" s="213"/>
      <c r="AE187" s="177"/>
      <c r="AF187" s="7"/>
    </row>
    <row r="188" ht="13.55" customHeight="1">
      <c r="A188" s="201"/>
      <c r="B188" s="23"/>
      <c r="C188" s="23"/>
      <c r="D188" s="23"/>
      <c r="E188" s="23"/>
      <c r="F188" t="s" s="15">
        <v>8</v>
      </c>
      <c r="G188" s="26">
        <v>1000</v>
      </c>
      <c r="H188" t="s" s="15">
        <v>8</v>
      </c>
      <c r="I188" s="26">
        <v>1000</v>
      </c>
      <c r="J188" t="s" s="15">
        <v>8</v>
      </c>
      <c r="K188" s="26">
        <v>1000</v>
      </c>
      <c r="L188" t="s" s="15">
        <v>8</v>
      </c>
      <c r="M188" s="26">
        <v>1000</v>
      </c>
      <c r="N188" t="s" s="15">
        <v>8</v>
      </c>
      <c r="O188" s="26">
        <v>1000</v>
      </c>
      <c r="P188" t="s" s="15">
        <v>8</v>
      </c>
      <c r="Q188" s="26">
        <v>1000</v>
      </c>
      <c r="R188" t="s" s="15">
        <v>8</v>
      </c>
      <c r="S188" s="214"/>
      <c r="T188" t="s" s="15">
        <v>8</v>
      </c>
      <c r="U188" s="214"/>
      <c r="V188" t="s" s="15">
        <v>8</v>
      </c>
      <c r="W188" s="214"/>
      <c r="X188" t="s" s="15">
        <v>8</v>
      </c>
      <c r="Y188" s="27"/>
      <c r="Z188" t="s" s="15">
        <v>8</v>
      </c>
      <c r="AA188" s="27"/>
      <c r="AB188" t="s" s="15">
        <v>8</v>
      </c>
      <c r="AC188" s="27"/>
      <c r="AD188" s="182" cm="1">
        <f t="array" ref="AD188">G188+I188+K188+M188+O188+Q188+S188+U188+W188+Y188+AA188+AC188</f>
        <v>6000</v>
      </c>
      <c r="AE188" s="183" cm="1">
        <f t="array" ref="AE188">900*12</f>
        <v>10800</v>
      </c>
      <c r="AF188" s="51" cm="1">
        <f t="array" ref="AF188">AE188-AD188</f>
        <v>4800</v>
      </c>
    </row>
    <row r="189" ht="13.55" customHeight="1">
      <c r="A189" s="201"/>
      <c r="B189" s="23"/>
      <c r="C189" t="s" s="8">
        <v>9</v>
      </c>
      <c r="D189" s="25">
        <v>1000</v>
      </c>
      <c r="E189" s="131"/>
      <c r="F189" t="s" s="15">
        <v>10</v>
      </c>
      <c r="G189" t="s" s="33">
        <v>17</v>
      </c>
      <c r="H189" t="s" s="15">
        <v>10</v>
      </c>
      <c r="I189" t="s" s="33">
        <v>17</v>
      </c>
      <c r="J189" t="s" s="15">
        <v>10</v>
      </c>
      <c r="K189" t="s" s="33">
        <v>17</v>
      </c>
      <c r="L189" t="s" s="15">
        <v>10</v>
      </c>
      <c r="M189" t="s" s="33">
        <v>35</v>
      </c>
      <c r="N189" t="s" s="15">
        <v>10</v>
      </c>
      <c r="O189" t="s" s="33">
        <v>35</v>
      </c>
      <c r="P189" t="s" s="15">
        <v>10</v>
      </c>
      <c r="Q189" t="s" s="33">
        <v>35</v>
      </c>
      <c r="R189" t="s" s="15">
        <v>10</v>
      </c>
      <c r="S189" s="215"/>
      <c r="T189" t="s" s="15">
        <v>10</v>
      </c>
      <c r="U189" s="215"/>
      <c r="V189" t="s" s="15">
        <v>10</v>
      </c>
      <c r="W189" s="215"/>
      <c r="X189" t="s" s="15">
        <v>10</v>
      </c>
      <c r="Y189" s="34"/>
      <c r="Z189" t="s" s="15">
        <v>10</v>
      </c>
      <c r="AA189" s="34"/>
      <c r="AB189" t="s" s="15">
        <v>10</v>
      </c>
      <c r="AC189" s="34"/>
      <c r="AD189" s="180"/>
      <c r="AE189" s="177"/>
      <c r="AF189" s="7"/>
    </row>
    <row r="190" ht="13.75" customHeight="1">
      <c r="A190" s="201"/>
      <c r="B190" t="s" s="15">
        <v>402</v>
      </c>
      <c r="C190" s="23"/>
      <c r="D190" s="23"/>
      <c r="E190" t="s" s="15">
        <v>14</v>
      </c>
      <c r="F190" t="s" s="15">
        <v>6</v>
      </c>
      <c r="G190" s="16">
        <v>2020</v>
      </c>
      <c r="H190" t="s" s="15">
        <v>6</v>
      </c>
      <c r="I190" s="16">
        <v>2020</v>
      </c>
      <c r="J190" t="s" s="15">
        <v>6</v>
      </c>
      <c r="K190" s="40"/>
      <c r="L190" t="s" s="15">
        <v>6</v>
      </c>
      <c r="M190" s="16">
        <v>2223</v>
      </c>
      <c r="N190" t="s" s="15">
        <v>6</v>
      </c>
      <c r="O190" s="16">
        <v>2223</v>
      </c>
      <c r="P190" t="s" s="15">
        <v>6</v>
      </c>
      <c r="Q190" s="16">
        <v>2223</v>
      </c>
      <c r="R190" t="s" s="15">
        <v>6</v>
      </c>
      <c r="S190" s="212"/>
      <c r="T190" t="s" s="15">
        <v>6</v>
      </c>
      <c r="U190" s="212"/>
      <c r="V190" t="s" s="15">
        <v>6</v>
      </c>
      <c r="W190" s="212"/>
      <c r="X190" t="s" s="15">
        <v>6</v>
      </c>
      <c r="Y190" s="18"/>
      <c r="Z190" t="s" s="15">
        <v>6</v>
      </c>
      <c r="AA190" s="18"/>
      <c r="AB190" t="s" s="15">
        <v>6</v>
      </c>
      <c r="AC190" s="18"/>
      <c r="AD190" s="180"/>
      <c r="AE190" s="177"/>
      <c r="AF190" s="7"/>
    </row>
    <row r="191" ht="13.55" customHeight="1">
      <c r="A191" s="201"/>
      <c r="B191" t="s" s="15">
        <v>403</v>
      </c>
      <c r="C191" s="23"/>
      <c r="D191" s="23"/>
      <c r="E191" s="23"/>
      <c r="F191" t="s" s="15">
        <v>8</v>
      </c>
      <c r="G191" s="26">
        <v>800</v>
      </c>
      <c r="H191" t="s" s="15">
        <v>8</v>
      </c>
      <c r="I191" s="26">
        <v>800</v>
      </c>
      <c r="J191" t="s" s="15">
        <v>8</v>
      </c>
      <c r="K191" s="41"/>
      <c r="L191" t="s" s="15">
        <v>8</v>
      </c>
      <c r="M191" s="26">
        <v>800</v>
      </c>
      <c r="N191" t="s" s="15">
        <v>8</v>
      </c>
      <c r="O191" s="26">
        <v>800</v>
      </c>
      <c r="P191" t="s" s="15">
        <v>8</v>
      </c>
      <c r="Q191" s="26">
        <v>800</v>
      </c>
      <c r="R191" t="s" s="15">
        <v>8</v>
      </c>
      <c r="S191" s="214"/>
      <c r="T191" t="s" s="15">
        <v>8</v>
      </c>
      <c r="U191" s="214"/>
      <c r="V191" t="s" s="15">
        <v>8</v>
      </c>
      <c r="W191" s="214"/>
      <c r="X191" t="s" s="15">
        <v>8</v>
      </c>
      <c r="Y191" s="27"/>
      <c r="Z191" t="s" s="15">
        <v>8</v>
      </c>
      <c r="AA191" s="27"/>
      <c r="AB191" t="s" s="15">
        <v>8</v>
      </c>
      <c r="AC191" s="27"/>
      <c r="AD191" s="180" cm="1">
        <f t="array" ref="AD191">G191+I191+K191+M191+O191+Q191+S191+U191+W191+Y191+AA191+AC191</f>
      </c>
      <c r="AE191" s="183" cm="1">
        <f t="array" ref="AE191">700*11</f>
        <v>7700</v>
      </c>
      <c r="AF191" s="7" cm="1">
        <f t="array" ref="AF191">AE191-AD191</f>
      </c>
    </row>
    <row r="192" ht="13.55" customHeight="1">
      <c r="A192" s="204"/>
      <c r="B192" s="23"/>
      <c r="C192" s="23"/>
      <c r="D192" s="23"/>
      <c r="E192" s="23"/>
      <c r="F192" t="s" s="15">
        <v>10</v>
      </c>
      <c r="G192" t="s" s="33">
        <v>17</v>
      </c>
      <c r="H192" t="s" s="15">
        <v>10</v>
      </c>
      <c r="I192" t="s" s="33">
        <v>17</v>
      </c>
      <c r="J192" t="s" s="15">
        <v>10</v>
      </c>
      <c r="K192" s="45"/>
      <c r="L192" t="s" s="15">
        <v>10</v>
      </c>
      <c r="M192" t="s" s="33">
        <v>35</v>
      </c>
      <c r="N192" t="s" s="15">
        <v>10</v>
      </c>
      <c r="O192" t="s" s="33">
        <v>35</v>
      </c>
      <c r="P192" t="s" s="15">
        <v>10</v>
      </c>
      <c r="Q192" t="s" s="33">
        <v>35</v>
      </c>
      <c r="R192" t="s" s="15">
        <v>10</v>
      </c>
      <c r="S192" s="215"/>
      <c r="T192" t="s" s="15">
        <v>10</v>
      </c>
      <c r="U192" s="215"/>
      <c r="V192" t="s" s="15">
        <v>10</v>
      </c>
      <c r="W192" s="215"/>
      <c r="X192" t="s" s="15">
        <v>10</v>
      </c>
      <c r="Y192" s="34"/>
      <c r="Z192" t="s" s="15">
        <v>10</v>
      </c>
      <c r="AA192" s="34"/>
      <c r="AB192" t="s" s="15">
        <v>10</v>
      </c>
      <c r="AC192" s="34"/>
      <c r="AD192" s="213"/>
      <c r="AE192" s="177"/>
      <c r="AF192" s="7"/>
    </row>
    <row r="193" ht="13.55" customHeight="1">
      <c r="A193" s="23"/>
      <c r="B193" s="23"/>
      <c r="C193" s="23"/>
      <c r="D193" s="23"/>
      <c r="E193" s="23"/>
      <c r="F193" s="23"/>
      <c r="G193" s="216"/>
      <c r="H193" s="23"/>
      <c r="I193" s="216"/>
      <c r="J193" s="23"/>
      <c r="K193" s="216"/>
      <c r="L193" s="23"/>
      <c r="M193" s="216"/>
      <c r="N193" s="23"/>
      <c r="O193" s="216"/>
      <c r="P193" s="23"/>
      <c r="Q193" s="216"/>
      <c r="R193" s="23"/>
      <c r="S193" s="216"/>
      <c r="T193" s="23"/>
      <c r="U193" s="216"/>
      <c r="V193" s="23"/>
      <c r="W193" s="216"/>
      <c r="X193" s="23"/>
      <c r="Y193" s="216"/>
      <c r="Z193" s="23"/>
      <c r="AA193" s="216"/>
      <c r="AB193" s="23"/>
      <c r="AC193" s="216"/>
      <c r="AD193" s="213"/>
      <c r="AE193" s="177"/>
      <c r="AF193" s="7"/>
    </row>
    <row r="194" ht="13.75" customHeight="1">
      <c r="A194" s="200">
        <v>13</v>
      </c>
      <c r="B194" t="s" s="130">
        <v>404</v>
      </c>
      <c r="C194" s="23"/>
      <c r="D194" s="23"/>
      <c r="E194" t="s" s="15">
        <v>5</v>
      </c>
      <c r="F194" t="s" s="15">
        <v>6</v>
      </c>
      <c r="G194" s="16">
        <v>1181</v>
      </c>
      <c r="H194" t="s" s="15">
        <v>6</v>
      </c>
      <c r="I194" s="212"/>
      <c r="J194" t="s" s="15">
        <v>6</v>
      </c>
      <c r="K194" s="212"/>
      <c r="L194" t="s" s="15">
        <v>6</v>
      </c>
      <c r="M194" s="212"/>
      <c r="N194" t="s" s="15">
        <v>6</v>
      </c>
      <c r="O194" s="212"/>
      <c r="P194" t="s" s="15">
        <v>6</v>
      </c>
      <c r="Q194" s="212"/>
      <c r="R194" t="s" s="15">
        <v>6</v>
      </c>
      <c r="S194" s="212"/>
      <c r="T194" t="s" s="15">
        <v>6</v>
      </c>
      <c r="U194" s="18"/>
      <c r="V194" t="s" s="15">
        <v>6</v>
      </c>
      <c r="W194" s="18"/>
      <c r="X194" t="s" s="15">
        <v>6</v>
      </c>
      <c r="Y194" s="18"/>
      <c r="Z194" t="s" s="15">
        <v>6</v>
      </c>
      <c r="AA194" s="18"/>
      <c r="AB194" t="s" s="15">
        <v>6</v>
      </c>
      <c r="AC194" s="18"/>
      <c r="AD194" s="213"/>
      <c r="AE194" s="177"/>
      <c r="AF194" s="7"/>
    </row>
    <row r="195" ht="13.55" customHeight="1">
      <c r="A195" s="201"/>
      <c r="B195" s="27"/>
      <c r="C195" s="27"/>
      <c r="D195" s="27"/>
      <c r="E195" s="23"/>
      <c r="F195" t="s" s="15">
        <v>8</v>
      </c>
      <c r="G195" s="26">
        <v>1000</v>
      </c>
      <c r="H195" t="s" s="15">
        <v>8</v>
      </c>
      <c r="I195" s="214"/>
      <c r="J195" t="s" s="15">
        <v>8</v>
      </c>
      <c r="K195" s="214"/>
      <c r="L195" t="s" s="15">
        <v>8</v>
      </c>
      <c r="M195" s="214"/>
      <c r="N195" t="s" s="15">
        <v>8</v>
      </c>
      <c r="O195" s="203"/>
      <c r="P195" t="s" s="15">
        <v>8</v>
      </c>
      <c r="Q195" s="203"/>
      <c r="R195" t="s" s="15">
        <v>8</v>
      </c>
      <c r="S195" s="203"/>
      <c r="T195" t="s" s="15">
        <v>8</v>
      </c>
      <c r="U195" s="27"/>
      <c r="V195" t="s" s="15">
        <v>8</v>
      </c>
      <c r="W195" s="27"/>
      <c r="X195" t="s" s="15">
        <v>8</v>
      </c>
      <c r="Y195" s="27"/>
      <c r="Z195" t="s" s="15">
        <v>8</v>
      </c>
      <c r="AA195" s="27"/>
      <c r="AB195" t="s" s="15">
        <v>8</v>
      </c>
      <c r="AC195" s="27"/>
      <c r="AD195" s="182" cm="1">
        <f t="array" ref="AD195">G195+I195+K195+M195+O195+Q195+S195+U195+W195+Y195+AA195+AC195</f>
        <v>1000</v>
      </c>
      <c r="AE195" s="183" cm="1">
        <f t="array" ref="AE195">900*12</f>
        <v>10800</v>
      </c>
      <c r="AF195" s="51" cm="1">
        <f t="array" ref="AF195">AE195-AD195</f>
        <v>9800</v>
      </c>
    </row>
    <row r="196" ht="13.55" customHeight="1">
      <c r="A196" s="201"/>
      <c r="B196" s="27"/>
      <c r="C196" t="s" s="8">
        <v>9</v>
      </c>
      <c r="D196" s="26">
        <v>1000</v>
      </c>
      <c r="E196" s="23"/>
      <c r="F196" t="s" s="15">
        <v>10</v>
      </c>
      <c r="G196" t="s" s="33">
        <v>39</v>
      </c>
      <c r="H196" t="s" s="15">
        <v>10</v>
      </c>
      <c r="I196" s="215"/>
      <c r="J196" t="s" s="15">
        <v>10</v>
      </c>
      <c r="K196" s="215"/>
      <c r="L196" t="s" s="15">
        <v>10</v>
      </c>
      <c r="M196" s="215"/>
      <c r="N196" t="s" s="15">
        <v>10</v>
      </c>
      <c r="O196" s="215"/>
      <c r="P196" t="s" s="15">
        <v>10</v>
      </c>
      <c r="Q196" s="215"/>
      <c r="R196" t="s" s="15">
        <v>10</v>
      </c>
      <c r="S196" s="215"/>
      <c r="T196" t="s" s="15">
        <v>10</v>
      </c>
      <c r="U196" s="34"/>
      <c r="V196" t="s" s="15">
        <v>10</v>
      </c>
      <c r="W196" s="34"/>
      <c r="X196" t="s" s="15">
        <v>10</v>
      </c>
      <c r="Y196" s="34"/>
      <c r="Z196" t="s" s="15">
        <v>10</v>
      </c>
      <c r="AA196" s="34"/>
      <c r="AB196" t="s" s="15">
        <v>10</v>
      </c>
      <c r="AC196" s="34"/>
      <c r="AD196" s="180"/>
      <c r="AE196" s="177"/>
      <c r="AF196" s="7"/>
    </row>
    <row r="197" ht="13.75" customHeight="1">
      <c r="A197" s="201"/>
      <c r="B197" t="s" s="15">
        <v>405</v>
      </c>
      <c r="C197" s="23"/>
      <c r="D197" s="23"/>
      <c r="E197" t="s" s="15">
        <v>14</v>
      </c>
      <c r="F197" t="s" s="15">
        <v>6</v>
      </c>
      <c r="G197" s="16">
        <v>2095</v>
      </c>
      <c r="H197" t="s" s="15">
        <v>6</v>
      </c>
      <c r="I197" s="212"/>
      <c r="J197" t="s" s="15">
        <v>6</v>
      </c>
      <c r="K197" s="148"/>
      <c r="L197" t="s" s="15">
        <v>6</v>
      </c>
      <c r="M197" s="212"/>
      <c r="N197" t="s" s="15">
        <v>6</v>
      </c>
      <c r="O197" s="212"/>
      <c r="P197" t="s" s="15">
        <v>6</v>
      </c>
      <c r="Q197" s="212"/>
      <c r="R197" t="s" s="15">
        <v>6</v>
      </c>
      <c r="S197" s="212"/>
      <c r="T197" t="s" s="15">
        <v>6</v>
      </c>
      <c r="U197" s="18"/>
      <c r="V197" t="s" s="15">
        <v>6</v>
      </c>
      <c r="W197" s="18"/>
      <c r="X197" t="s" s="15">
        <v>6</v>
      </c>
      <c r="Y197" s="18"/>
      <c r="Z197" t="s" s="15">
        <v>6</v>
      </c>
      <c r="AA197" s="18"/>
      <c r="AB197" t="s" s="15">
        <v>6</v>
      </c>
      <c r="AC197" s="18"/>
      <c r="AD197" s="180"/>
      <c r="AE197" s="177"/>
      <c r="AF197" s="7"/>
    </row>
    <row r="198" ht="13.55" customHeight="1">
      <c r="A198" s="201"/>
      <c r="B198" t="s" s="15">
        <v>406</v>
      </c>
      <c r="C198" s="23"/>
      <c r="D198" s="23"/>
      <c r="E198" s="23"/>
      <c r="F198" t="s" s="15">
        <v>8</v>
      </c>
      <c r="G198" s="26">
        <v>1200</v>
      </c>
      <c r="H198" t="s" s="15">
        <v>8</v>
      </c>
      <c r="I198" s="214"/>
      <c r="J198" t="s" s="15">
        <v>8</v>
      </c>
      <c r="K198" s="149"/>
      <c r="L198" t="s" s="15">
        <v>8</v>
      </c>
      <c r="M198" s="214"/>
      <c r="N198" t="s" s="15">
        <v>8</v>
      </c>
      <c r="O198" s="203"/>
      <c r="P198" t="s" s="15">
        <v>8</v>
      </c>
      <c r="Q198" s="203"/>
      <c r="R198" t="s" s="15">
        <v>8</v>
      </c>
      <c r="S198" s="203"/>
      <c r="T198" t="s" s="15">
        <v>8</v>
      </c>
      <c r="U198" s="27"/>
      <c r="V198" t="s" s="15">
        <v>8</v>
      </c>
      <c r="W198" s="27"/>
      <c r="X198" t="s" s="15">
        <v>8</v>
      </c>
      <c r="Y198" s="27"/>
      <c r="Z198" t="s" s="15">
        <v>8</v>
      </c>
      <c r="AA198" s="27"/>
      <c r="AB198" t="s" s="15">
        <v>8</v>
      </c>
      <c r="AC198" s="27"/>
      <c r="AD198" s="180" cm="1">
        <f t="array" ref="AD198">G198+I198+K198+M198+O198+Q198+S198+U198+W198+Y198+AA198+AC198</f>
      </c>
      <c r="AE198" s="183" cm="1">
        <f t="array" ref="AE198">1100*10</f>
        <v>11000</v>
      </c>
      <c r="AF198" s="7" cm="1">
        <f t="array" ref="AF198">AE198-AD198</f>
      </c>
    </row>
    <row r="199" ht="13.55" customHeight="1">
      <c r="A199" s="204"/>
      <c r="B199" s="23"/>
      <c r="C199" s="23"/>
      <c r="D199" s="23"/>
      <c r="E199" s="23"/>
      <c r="F199" t="s" s="15">
        <v>10</v>
      </c>
      <c r="G199" t="s" s="33">
        <v>39</v>
      </c>
      <c r="H199" t="s" s="15">
        <v>10</v>
      </c>
      <c r="I199" s="215"/>
      <c r="J199" t="s" s="15">
        <v>10</v>
      </c>
      <c r="K199" s="150"/>
      <c r="L199" t="s" s="15">
        <v>10</v>
      </c>
      <c r="M199" s="215"/>
      <c r="N199" t="s" s="15">
        <v>10</v>
      </c>
      <c r="O199" s="215"/>
      <c r="P199" t="s" s="15">
        <v>10</v>
      </c>
      <c r="Q199" s="215"/>
      <c r="R199" t="s" s="15">
        <v>10</v>
      </c>
      <c r="S199" s="215"/>
      <c r="T199" t="s" s="15">
        <v>10</v>
      </c>
      <c r="U199" s="34"/>
      <c r="V199" t="s" s="15">
        <v>10</v>
      </c>
      <c r="W199" s="34"/>
      <c r="X199" t="s" s="15">
        <v>10</v>
      </c>
      <c r="Y199" s="34"/>
      <c r="Z199" t="s" s="15">
        <v>10</v>
      </c>
      <c r="AA199" s="34"/>
      <c r="AB199" t="s" s="15">
        <v>10</v>
      </c>
      <c r="AC199" s="34"/>
      <c r="AD199" s="213"/>
      <c r="AE199" s="177"/>
      <c r="AF199" s="7"/>
    </row>
    <row r="200" ht="13.55" customHeight="1">
      <c r="A200" s="23"/>
      <c r="B200" s="23"/>
      <c r="C200" s="23"/>
      <c r="D200" s="23"/>
      <c r="E200" s="23"/>
      <c r="F200" s="23"/>
      <c r="G200" s="216"/>
      <c r="H200" s="23"/>
      <c r="I200" s="216"/>
      <c r="J200" s="23"/>
      <c r="K200" s="216"/>
      <c r="L200" s="23"/>
      <c r="M200" s="216"/>
      <c r="N200" s="23"/>
      <c r="O200" s="216"/>
      <c r="P200" s="23"/>
      <c r="Q200" s="216"/>
      <c r="R200" s="23"/>
      <c r="S200" s="216"/>
      <c r="T200" s="23"/>
      <c r="U200" s="216"/>
      <c r="V200" s="23"/>
      <c r="W200" s="216"/>
      <c r="X200" s="23"/>
      <c r="Y200" s="216"/>
      <c r="Z200" s="23"/>
      <c r="AA200" s="216"/>
      <c r="AB200" s="23"/>
      <c r="AC200" s="216"/>
      <c r="AD200" s="213"/>
      <c r="AE200" s="177"/>
      <c r="AF200" s="7"/>
    </row>
    <row r="201" ht="13.75" customHeight="1">
      <c r="A201" s="200">
        <v>14</v>
      </c>
      <c r="B201" t="s" s="130">
        <v>407</v>
      </c>
      <c r="C201" s="23"/>
      <c r="D201" s="23"/>
      <c r="E201" t="s" s="15">
        <v>5</v>
      </c>
      <c r="F201" t="s" s="15">
        <v>6</v>
      </c>
      <c r="G201" s="16">
        <v>3211</v>
      </c>
      <c r="H201" t="s" s="15">
        <v>6</v>
      </c>
      <c r="I201" s="16">
        <v>3211</v>
      </c>
      <c r="J201" t="s" s="15">
        <v>6</v>
      </c>
      <c r="K201" s="212"/>
      <c r="L201" t="s" s="15">
        <v>6</v>
      </c>
      <c r="M201" s="212"/>
      <c r="N201" t="s" s="15">
        <v>6</v>
      </c>
      <c r="O201" s="212"/>
      <c r="P201" t="s" s="15">
        <v>6</v>
      </c>
      <c r="Q201" s="212"/>
      <c r="R201" t="s" s="15">
        <v>6</v>
      </c>
      <c r="S201" s="212"/>
      <c r="T201" t="s" s="15">
        <v>6</v>
      </c>
      <c r="U201" s="18"/>
      <c r="V201" t="s" s="15">
        <v>6</v>
      </c>
      <c r="W201" s="18"/>
      <c r="X201" t="s" s="15">
        <v>6</v>
      </c>
      <c r="Y201" s="18"/>
      <c r="Z201" t="s" s="15">
        <v>6</v>
      </c>
      <c r="AA201" s="18"/>
      <c r="AB201" t="s" s="15">
        <v>6</v>
      </c>
      <c r="AC201" s="18"/>
      <c r="AD201" s="213"/>
      <c r="AE201" s="177"/>
      <c r="AF201" s="7"/>
    </row>
    <row r="202" ht="13.55" customHeight="1">
      <c r="A202" s="201"/>
      <c r="B202" s="27"/>
      <c r="C202" s="27"/>
      <c r="D202" s="27"/>
      <c r="E202" s="23"/>
      <c r="F202" t="s" s="15">
        <v>8</v>
      </c>
      <c r="G202" s="26">
        <v>1000</v>
      </c>
      <c r="H202" t="s" s="15">
        <v>8</v>
      </c>
      <c r="I202" s="26">
        <v>1000</v>
      </c>
      <c r="J202" t="s" s="15">
        <v>8</v>
      </c>
      <c r="K202" s="214"/>
      <c r="L202" t="s" s="15">
        <v>8</v>
      </c>
      <c r="M202" s="214"/>
      <c r="N202" t="s" s="15">
        <v>8</v>
      </c>
      <c r="O202" s="203"/>
      <c r="P202" t="s" s="15">
        <v>8</v>
      </c>
      <c r="Q202" s="214"/>
      <c r="R202" t="s" s="15">
        <v>8</v>
      </c>
      <c r="S202" s="214"/>
      <c r="T202" t="s" s="15">
        <v>8</v>
      </c>
      <c r="U202" s="27"/>
      <c r="V202" t="s" s="15">
        <v>8</v>
      </c>
      <c r="W202" s="27"/>
      <c r="X202" t="s" s="15">
        <v>8</v>
      </c>
      <c r="Y202" s="27"/>
      <c r="Z202" t="s" s="15">
        <v>8</v>
      </c>
      <c r="AA202" s="27"/>
      <c r="AB202" t="s" s="15">
        <v>8</v>
      </c>
      <c r="AC202" s="27"/>
      <c r="AD202" s="182" cm="1">
        <f t="array" ref="AD202">G202+I202+K202+M202+O202+Q202+S202+U202+W202+Y202+AA202+AC202</f>
        <v>2000</v>
      </c>
      <c r="AE202" s="183" cm="1">
        <f t="array" ref="AE202">900*12</f>
        <v>10800</v>
      </c>
      <c r="AF202" s="51" cm="1">
        <f t="array" ref="AF202">AE202-AD202</f>
        <v>8800</v>
      </c>
    </row>
    <row r="203" ht="13.55" customHeight="1">
      <c r="A203" s="201"/>
      <c r="B203" s="27"/>
      <c r="C203" t="s" s="8">
        <v>9</v>
      </c>
      <c r="D203" s="26">
        <v>1000</v>
      </c>
      <c r="E203" s="23"/>
      <c r="F203" t="s" s="15">
        <v>10</v>
      </c>
      <c r="G203" t="s" s="163">
        <v>55</v>
      </c>
      <c r="H203" t="s" s="15">
        <v>10</v>
      </c>
      <c r="I203" t="s" s="163">
        <v>55</v>
      </c>
      <c r="J203" t="s" s="15">
        <v>10</v>
      </c>
      <c r="K203" s="215"/>
      <c r="L203" t="s" s="15">
        <v>10</v>
      </c>
      <c r="M203" s="215"/>
      <c r="N203" t="s" s="15">
        <v>10</v>
      </c>
      <c r="O203" s="215"/>
      <c r="P203" t="s" s="15">
        <v>10</v>
      </c>
      <c r="Q203" s="215"/>
      <c r="R203" t="s" s="15">
        <v>10</v>
      </c>
      <c r="S203" s="215"/>
      <c r="T203" t="s" s="15">
        <v>10</v>
      </c>
      <c r="U203" s="34"/>
      <c r="V203" t="s" s="15">
        <v>10</v>
      </c>
      <c r="W203" s="34"/>
      <c r="X203" t="s" s="15">
        <v>10</v>
      </c>
      <c r="Y203" s="34"/>
      <c r="Z203" t="s" s="15">
        <v>10</v>
      </c>
      <c r="AA203" s="34"/>
      <c r="AB203" t="s" s="15">
        <v>10</v>
      </c>
      <c r="AC203" s="34"/>
      <c r="AD203" s="180"/>
      <c r="AE203" s="177"/>
      <c r="AF203" s="7"/>
    </row>
    <row r="204" ht="13.75" customHeight="1">
      <c r="A204" s="201"/>
      <c r="B204" t="s" s="15">
        <v>408</v>
      </c>
      <c r="C204" s="23"/>
      <c r="D204" s="23"/>
      <c r="E204" t="s" s="15">
        <v>14</v>
      </c>
      <c r="F204" t="s" s="15">
        <v>6</v>
      </c>
      <c r="G204" s="16">
        <v>2074</v>
      </c>
      <c r="H204" t="s" s="15">
        <v>6</v>
      </c>
      <c r="I204" s="16">
        <v>2185</v>
      </c>
      <c r="J204" t="s" s="15">
        <v>6</v>
      </c>
      <c r="K204" s="40"/>
      <c r="L204" t="s" s="15">
        <v>6</v>
      </c>
      <c r="M204" s="216"/>
      <c r="N204" t="s" s="15">
        <v>6</v>
      </c>
      <c r="O204" s="212"/>
      <c r="P204" t="s" s="15">
        <v>6</v>
      </c>
      <c r="Q204" s="212"/>
      <c r="R204" t="s" s="15">
        <v>6</v>
      </c>
      <c r="S204" s="18"/>
      <c r="T204" t="s" s="15">
        <v>6</v>
      </c>
      <c r="U204" s="18"/>
      <c r="V204" t="s" s="15">
        <v>6</v>
      </c>
      <c r="W204" s="18"/>
      <c r="X204" t="s" s="15">
        <v>6</v>
      </c>
      <c r="Y204" s="18"/>
      <c r="Z204" t="s" s="15">
        <v>6</v>
      </c>
      <c r="AA204" s="18"/>
      <c r="AB204" t="s" s="15">
        <v>6</v>
      </c>
      <c r="AC204" s="18"/>
      <c r="AD204" s="180"/>
      <c r="AE204" s="177"/>
      <c r="AF204" s="7"/>
    </row>
    <row r="205" ht="13.55" customHeight="1">
      <c r="A205" s="201"/>
      <c r="B205" t="s" s="15">
        <v>409</v>
      </c>
      <c r="C205" s="23"/>
      <c r="D205" s="23"/>
      <c r="E205" s="23"/>
      <c r="F205" t="s" s="15">
        <v>8</v>
      </c>
      <c r="G205" s="26">
        <v>600</v>
      </c>
      <c r="H205" t="s" s="15">
        <v>8</v>
      </c>
      <c r="I205" s="26">
        <v>600</v>
      </c>
      <c r="J205" t="s" s="15">
        <v>8</v>
      </c>
      <c r="K205" s="41"/>
      <c r="L205" t="s" s="15">
        <v>8</v>
      </c>
      <c r="M205" s="214"/>
      <c r="N205" t="s" s="15">
        <v>8</v>
      </c>
      <c r="O205" s="203"/>
      <c r="P205" t="s" s="15">
        <v>8</v>
      </c>
      <c r="Q205" s="214"/>
      <c r="R205" t="s" s="15">
        <v>8</v>
      </c>
      <c r="S205" s="27"/>
      <c r="T205" t="s" s="15">
        <v>8</v>
      </c>
      <c r="U205" s="27"/>
      <c r="V205" t="s" s="15">
        <v>8</v>
      </c>
      <c r="W205" s="27"/>
      <c r="X205" t="s" s="15">
        <v>8</v>
      </c>
      <c r="Y205" s="27"/>
      <c r="Z205" t="s" s="15">
        <v>8</v>
      </c>
      <c r="AA205" s="27"/>
      <c r="AB205" t="s" s="15">
        <v>8</v>
      </c>
      <c r="AC205" s="27"/>
      <c r="AD205" s="180" cm="1">
        <f t="array" ref="AD205">G205+I205+K205+M205+O205+Q205+S205+U205+W205+Y205+AA205+AC205</f>
      </c>
      <c r="AE205" s="183" cm="1">
        <f t="array" ref="AE205">500*8</f>
        <v>4000</v>
      </c>
      <c r="AF205" s="7" cm="1">
        <f t="array" ref="AF205">AE205-AD205</f>
      </c>
    </row>
    <row r="206" ht="13.55" customHeight="1">
      <c r="A206" s="204"/>
      <c r="B206" s="23"/>
      <c r="C206" s="23"/>
      <c r="D206" s="23"/>
      <c r="E206" s="23"/>
      <c r="F206" t="s" s="15">
        <v>10</v>
      </c>
      <c r="G206" t="s" s="163">
        <v>70</v>
      </c>
      <c r="H206" t="s" s="15">
        <v>10</v>
      </c>
      <c r="I206" t="s" s="163">
        <v>55</v>
      </c>
      <c r="J206" t="s" s="15">
        <v>10</v>
      </c>
      <c r="K206" s="45"/>
      <c r="L206" t="s" s="15">
        <v>10</v>
      </c>
      <c r="M206" s="216"/>
      <c r="N206" t="s" s="15">
        <v>10</v>
      </c>
      <c r="O206" s="215"/>
      <c r="P206" t="s" s="15">
        <v>10</v>
      </c>
      <c r="Q206" s="215"/>
      <c r="R206" t="s" s="15">
        <v>10</v>
      </c>
      <c r="S206" s="34"/>
      <c r="T206" t="s" s="15">
        <v>10</v>
      </c>
      <c r="U206" s="34"/>
      <c r="V206" t="s" s="15">
        <v>10</v>
      </c>
      <c r="W206" s="34"/>
      <c r="X206" t="s" s="15">
        <v>10</v>
      </c>
      <c r="Y206" s="34"/>
      <c r="Z206" t="s" s="15">
        <v>10</v>
      </c>
      <c r="AA206" s="34"/>
      <c r="AB206" t="s" s="15">
        <v>10</v>
      </c>
      <c r="AC206" s="34"/>
      <c r="AD206" s="213"/>
      <c r="AE206" s="177"/>
      <c r="AF206" s="7"/>
    </row>
    <row r="207" ht="13.55" customHeight="1">
      <c r="A207" s="23"/>
      <c r="B207" s="23"/>
      <c r="C207" s="23"/>
      <c r="D207" s="23"/>
      <c r="E207" s="23"/>
      <c r="F207" s="23"/>
      <c r="G207" s="216"/>
      <c r="H207" s="23"/>
      <c r="I207" s="216"/>
      <c r="J207" s="23"/>
      <c r="K207" s="216"/>
      <c r="L207" s="23"/>
      <c r="M207" s="216"/>
      <c r="N207" s="23"/>
      <c r="O207" s="216"/>
      <c r="P207" s="23"/>
      <c r="Q207" s="216"/>
      <c r="R207" s="23"/>
      <c r="S207" s="216"/>
      <c r="T207" s="23"/>
      <c r="U207" s="216"/>
      <c r="V207" s="23"/>
      <c r="W207" s="216"/>
      <c r="X207" s="23"/>
      <c r="Y207" s="216"/>
      <c r="Z207" s="23"/>
      <c r="AA207" s="216"/>
      <c r="AB207" s="23"/>
      <c r="AC207" s="216"/>
      <c r="AD207" s="213"/>
      <c r="AE207" s="177"/>
      <c r="AF207" s="7"/>
    </row>
    <row r="208" ht="13.75" customHeight="1">
      <c r="A208" s="200">
        <v>15</v>
      </c>
      <c r="B208" t="s" s="130">
        <v>180</v>
      </c>
      <c r="C208" s="23"/>
      <c r="D208" s="23"/>
      <c r="E208" t="s" s="15">
        <v>5</v>
      </c>
      <c r="F208" t="s" s="15">
        <v>6</v>
      </c>
      <c r="G208" s="16">
        <v>1161</v>
      </c>
      <c r="H208" t="s" s="15">
        <v>6</v>
      </c>
      <c r="I208" s="16">
        <v>3210</v>
      </c>
      <c r="J208" t="s" s="15">
        <v>6</v>
      </c>
      <c r="K208" s="212"/>
      <c r="L208" t="s" s="15">
        <v>6</v>
      </c>
      <c r="M208" s="212"/>
      <c r="N208" t="s" s="15">
        <v>6</v>
      </c>
      <c r="O208" s="212"/>
      <c r="P208" t="s" s="15">
        <v>6</v>
      </c>
      <c r="Q208" s="212"/>
      <c r="R208" t="s" s="15">
        <v>6</v>
      </c>
      <c r="S208" s="18"/>
      <c r="T208" t="s" s="15">
        <v>6</v>
      </c>
      <c r="U208" s="18"/>
      <c r="V208" t="s" s="15">
        <v>6</v>
      </c>
      <c r="W208" s="18"/>
      <c r="X208" t="s" s="15">
        <v>6</v>
      </c>
      <c r="Y208" s="18"/>
      <c r="Z208" t="s" s="15">
        <v>6</v>
      </c>
      <c r="AA208" s="18"/>
      <c r="AB208" t="s" s="15">
        <v>6</v>
      </c>
      <c r="AC208" s="18"/>
      <c r="AD208" s="213"/>
      <c r="AE208" s="177"/>
      <c r="AF208" s="7"/>
    </row>
    <row r="209" ht="13.55" customHeight="1">
      <c r="A209" s="201"/>
      <c r="B209" s="218"/>
      <c r="C209" s="27"/>
      <c r="D209" s="27"/>
      <c r="E209" s="23"/>
      <c r="F209" t="s" s="15">
        <v>8</v>
      </c>
      <c r="G209" s="26">
        <v>1000</v>
      </c>
      <c r="H209" t="s" s="15">
        <v>8</v>
      </c>
      <c r="I209" s="26">
        <v>1000</v>
      </c>
      <c r="J209" t="s" s="15">
        <v>8</v>
      </c>
      <c r="K209" s="214"/>
      <c r="L209" t="s" s="15">
        <v>8</v>
      </c>
      <c r="M209" s="214"/>
      <c r="N209" t="s" s="15">
        <v>8</v>
      </c>
      <c r="O209" s="203"/>
      <c r="P209" t="s" s="15">
        <v>8</v>
      </c>
      <c r="Q209" s="214"/>
      <c r="R209" t="s" s="15">
        <v>8</v>
      </c>
      <c r="S209" s="27"/>
      <c r="T209" t="s" s="15">
        <v>8</v>
      </c>
      <c r="U209" s="27"/>
      <c r="V209" t="s" s="15">
        <v>8</v>
      </c>
      <c r="W209" s="27"/>
      <c r="X209" t="s" s="15">
        <v>8</v>
      </c>
      <c r="Y209" s="27"/>
      <c r="Z209" t="s" s="15">
        <v>8</v>
      </c>
      <c r="AA209" s="27"/>
      <c r="AB209" t="s" s="15">
        <v>8</v>
      </c>
      <c r="AC209" s="27"/>
      <c r="AD209" s="182" cm="1">
        <f t="array" ref="AD209">G209+I209+K209+M209+O209+Q209+S209+U209+W209+Y209+AA209+AC209</f>
        <v>2000</v>
      </c>
      <c r="AE209" s="183" cm="1">
        <f t="array" ref="AE209">900*12</f>
        <v>10800</v>
      </c>
      <c r="AF209" s="51" cm="1">
        <f t="array" ref="AF209">AE209-AD209</f>
        <v>8800</v>
      </c>
    </row>
    <row r="210" ht="13.55" customHeight="1">
      <c r="A210" s="201"/>
      <c r="B210" s="27"/>
      <c r="C210" t="s" s="8">
        <v>9</v>
      </c>
      <c r="D210" s="26">
        <v>1000</v>
      </c>
      <c r="E210" s="23"/>
      <c r="F210" t="s" s="15">
        <v>10</v>
      </c>
      <c r="G210" t="s" s="163">
        <v>70</v>
      </c>
      <c r="H210" t="s" s="15">
        <v>10</v>
      </c>
      <c r="I210" t="s" s="163">
        <v>55</v>
      </c>
      <c r="J210" t="s" s="15">
        <v>10</v>
      </c>
      <c r="K210" s="215"/>
      <c r="L210" t="s" s="15">
        <v>10</v>
      </c>
      <c r="M210" s="215"/>
      <c r="N210" t="s" s="15">
        <v>10</v>
      </c>
      <c r="O210" s="215"/>
      <c r="P210" t="s" s="15">
        <v>10</v>
      </c>
      <c r="Q210" s="215"/>
      <c r="R210" t="s" s="15">
        <v>10</v>
      </c>
      <c r="S210" s="34"/>
      <c r="T210" t="s" s="15">
        <v>10</v>
      </c>
      <c r="U210" s="34"/>
      <c r="V210" t="s" s="15">
        <v>10</v>
      </c>
      <c r="W210" s="34"/>
      <c r="X210" t="s" s="15">
        <v>10</v>
      </c>
      <c r="Y210" s="34"/>
      <c r="Z210" t="s" s="15">
        <v>10</v>
      </c>
      <c r="AA210" s="34"/>
      <c r="AB210" t="s" s="15">
        <v>10</v>
      </c>
      <c r="AC210" s="34"/>
      <c r="AD210" s="180"/>
      <c r="AE210" s="177"/>
      <c r="AF210" s="7"/>
    </row>
    <row r="211" ht="13.75" customHeight="1">
      <c r="A211" s="201"/>
      <c r="B211" t="s" s="15">
        <v>410</v>
      </c>
      <c r="C211" s="23"/>
      <c r="D211" s="23"/>
      <c r="E211" t="s" s="15">
        <v>14</v>
      </c>
      <c r="F211" t="s" s="15">
        <v>6</v>
      </c>
      <c r="G211" s="16">
        <v>2077</v>
      </c>
      <c r="H211" t="s" s="15">
        <v>6</v>
      </c>
      <c r="I211" s="16">
        <v>2184</v>
      </c>
      <c r="J211" t="s" s="15">
        <v>6</v>
      </c>
      <c r="K211" s="40"/>
      <c r="L211" t="s" s="15">
        <v>6</v>
      </c>
      <c r="M211" s="212"/>
      <c r="N211" t="s" s="15">
        <v>6</v>
      </c>
      <c r="O211" s="212"/>
      <c r="P211" t="s" s="15">
        <v>6</v>
      </c>
      <c r="Q211" s="212"/>
      <c r="R211" t="s" s="15">
        <v>6</v>
      </c>
      <c r="S211" s="18"/>
      <c r="T211" t="s" s="15">
        <v>6</v>
      </c>
      <c r="U211" s="18"/>
      <c r="V211" t="s" s="15">
        <v>6</v>
      </c>
      <c r="W211" s="18"/>
      <c r="X211" t="s" s="15">
        <v>6</v>
      </c>
      <c r="Y211" s="18"/>
      <c r="Z211" t="s" s="15">
        <v>6</v>
      </c>
      <c r="AA211" s="18"/>
      <c r="AB211" t="s" s="15">
        <v>6</v>
      </c>
      <c r="AC211" s="18"/>
      <c r="AD211" s="180"/>
      <c r="AE211" s="177"/>
      <c r="AF211" s="7"/>
    </row>
    <row r="212" ht="13.55" customHeight="1">
      <c r="A212" s="201"/>
      <c r="B212" t="s" s="15">
        <v>411</v>
      </c>
      <c r="C212" s="23"/>
      <c r="D212" s="23"/>
      <c r="E212" s="23"/>
      <c r="F212" t="s" s="15">
        <v>8</v>
      </c>
      <c r="G212" s="26">
        <v>600</v>
      </c>
      <c r="H212" t="s" s="15">
        <v>8</v>
      </c>
      <c r="I212" s="26">
        <v>600</v>
      </c>
      <c r="J212" t="s" s="15">
        <v>8</v>
      </c>
      <c r="K212" s="41"/>
      <c r="L212" t="s" s="15">
        <v>8</v>
      </c>
      <c r="M212" s="214"/>
      <c r="N212" t="s" s="15">
        <v>8</v>
      </c>
      <c r="O212" s="203"/>
      <c r="P212" t="s" s="15">
        <v>8</v>
      </c>
      <c r="Q212" s="214"/>
      <c r="R212" t="s" s="15">
        <v>8</v>
      </c>
      <c r="S212" s="27"/>
      <c r="T212" t="s" s="15">
        <v>8</v>
      </c>
      <c r="U212" s="27"/>
      <c r="V212" t="s" s="15">
        <v>8</v>
      </c>
      <c r="W212" s="27"/>
      <c r="X212" t="s" s="15">
        <v>8</v>
      </c>
      <c r="Y212" s="27"/>
      <c r="Z212" t="s" s="15">
        <v>8</v>
      </c>
      <c r="AA212" s="27"/>
      <c r="AB212" t="s" s="15">
        <v>8</v>
      </c>
      <c r="AC212" s="27"/>
      <c r="AD212" s="180" cm="1">
        <f t="array" ref="AD212">G212+I212+K212+M212+O212+Q212+S212+U212+W212+Y212+AA212+AC212</f>
      </c>
      <c r="AE212" s="183" cm="1">
        <f t="array" ref="AE212">500*9</f>
        <v>4500</v>
      </c>
      <c r="AF212" s="7" cm="1">
        <f t="array" ref="AF212">AE212-AD212</f>
      </c>
    </row>
    <row r="213" ht="13.55" customHeight="1">
      <c r="A213" s="204"/>
      <c r="B213" s="23"/>
      <c r="C213" s="23"/>
      <c r="D213" s="23"/>
      <c r="E213" s="23"/>
      <c r="F213" t="s" s="15">
        <v>10</v>
      </c>
      <c r="G213" t="s" s="163">
        <v>70</v>
      </c>
      <c r="H213" t="s" s="15">
        <v>10</v>
      </c>
      <c r="I213" t="s" s="163">
        <v>55</v>
      </c>
      <c r="J213" t="s" s="15">
        <v>10</v>
      </c>
      <c r="K213" s="45"/>
      <c r="L213" t="s" s="15">
        <v>10</v>
      </c>
      <c r="M213" s="215"/>
      <c r="N213" t="s" s="15">
        <v>10</v>
      </c>
      <c r="O213" s="215"/>
      <c r="P213" t="s" s="15">
        <v>10</v>
      </c>
      <c r="Q213" s="215"/>
      <c r="R213" t="s" s="15">
        <v>10</v>
      </c>
      <c r="S213" s="34"/>
      <c r="T213" t="s" s="15">
        <v>10</v>
      </c>
      <c r="U213" s="34"/>
      <c r="V213" t="s" s="15">
        <v>10</v>
      </c>
      <c r="W213" s="34"/>
      <c r="X213" t="s" s="15">
        <v>10</v>
      </c>
      <c r="Y213" s="34"/>
      <c r="Z213" t="s" s="15">
        <v>10</v>
      </c>
      <c r="AA213" s="34"/>
      <c r="AB213" t="s" s="15">
        <v>10</v>
      </c>
      <c r="AC213" s="34"/>
      <c r="AD213" s="213"/>
      <c r="AE213" s="177"/>
      <c r="AF213" s="7"/>
    </row>
    <row r="214" ht="13.55" customHeight="1">
      <c r="A214" s="23"/>
      <c r="B214" s="23"/>
      <c r="C214" s="23"/>
      <c r="D214" s="23"/>
      <c r="E214" s="23"/>
      <c r="F214" s="23"/>
      <c r="G214" s="216"/>
      <c r="H214" s="23"/>
      <c r="I214" s="216"/>
      <c r="J214" s="23"/>
      <c r="K214" s="216"/>
      <c r="L214" s="23"/>
      <c r="M214" s="216"/>
      <c r="N214" s="23"/>
      <c r="O214" s="216"/>
      <c r="P214" s="23"/>
      <c r="Q214" s="216"/>
      <c r="R214" s="23"/>
      <c r="S214" s="216"/>
      <c r="T214" s="23"/>
      <c r="U214" s="216"/>
      <c r="V214" s="23"/>
      <c r="W214" s="216"/>
      <c r="X214" s="23"/>
      <c r="Y214" s="216"/>
      <c r="Z214" s="23"/>
      <c r="AA214" s="216"/>
      <c r="AB214" s="23"/>
      <c r="AC214" s="216"/>
      <c r="AD214" s="213"/>
      <c r="AE214" s="177"/>
      <c r="AF214" s="7"/>
    </row>
    <row r="215" ht="13.75" customHeight="1">
      <c r="A215" s="200">
        <v>16</v>
      </c>
      <c r="B215" t="s" s="130">
        <v>412</v>
      </c>
      <c r="C215" s="23"/>
      <c r="D215" s="23"/>
      <c r="E215" t="s" s="15">
        <v>5</v>
      </c>
      <c r="F215" t="s" s="15">
        <v>6</v>
      </c>
      <c r="G215" s="16">
        <v>1242</v>
      </c>
      <c r="H215" t="s" s="15">
        <v>6</v>
      </c>
      <c r="I215" s="16">
        <v>1242</v>
      </c>
      <c r="J215" t="s" s="15">
        <v>6</v>
      </c>
      <c r="K215" s="16">
        <v>1242</v>
      </c>
      <c r="L215" t="s" s="15">
        <v>6</v>
      </c>
      <c r="M215" s="212"/>
      <c r="N215" t="s" s="15">
        <v>6</v>
      </c>
      <c r="O215" s="212"/>
      <c r="P215" t="s" s="15">
        <v>6</v>
      </c>
      <c r="Q215" s="212"/>
      <c r="R215" t="s" s="15">
        <v>6</v>
      </c>
      <c r="S215" s="212"/>
      <c r="T215" t="s" s="15">
        <v>6</v>
      </c>
      <c r="U215" s="212"/>
      <c r="V215" t="s" s="15">
        <v>6</v>
      </c>
      <c r="W215" s="18"/>
      <c r="X215" t="s" s="15">
        <v>6</v>
      </c>
      <c r="Y215" s="18"/>
      <c r="Z215" t="s" s="15">
        <v>6</v>
      </c>
      <c r="AA215" s="18"/>
      <c r="AB215" t="s" s="15">
        <v>6</v>
      </c>
      <c r="AC215" s="18"/>
      <c r="AD215" s="213"/>
      <c r="AE215" s="177"/>
      <c r="AF215" s="7"/>
    </row>
    <row r="216" ht="13.55" customHeight="1">
      <c r="A216" s="201"/>
      <c r="B216" s="27"/>
      <c r="C216" s="27"/>
      <c r="D216" s="27"/>
      <c r="E216" s="23"/>
      <c r="F216" t="s" s="15">
        <v>8</v>
      </c>
      <c r="G216" s="26">
        <v>1000</v>
      </c>
      <c r="H216" t="s" s="15">
        <v>8</v>
      </c>
      <c r="I216" s="26">
        <v>1000</v>
      </c>
      <c r="J216" t="s" s="15">
        <v>8</v>
      </c>
      <c r="K216" s="26">
        <v>1000</v>
      </c>
      <c r="L216" t="s" s="15">
        <v>8</v>
      </c>
      <c r="M216" s="214"/>
      <c r="N216" t="s" s="15">
        <v>8</v>
      </c>
      <c r="O216" s="203"/>
      <c r="P216" t="s" s="15">
        <v>8</v>
      </c>
      <c r="Q216" s="214"/>
      <c r="R216" t="s" s="15">
        <v>8</v>
      </c>
      <c r="S216" s="214"/>
      <c r="T216" t="s" s="15">
        <v>8</v>
      </c>
      <c r="U216" s="214"/>
      <c r="V216" t="s" s="15">
        <v>8</v>
      </c>
      <c r="W216" s="27"/>
      <c r="X216" t="s" s="15">
        <v>8</v>
      </c>
      <c r="Y216" s="27"/>
      <c r="Z216" t="s" s="15">
        <v>8</v>
      </c>
      <c r="AA216" s="27"/>
      <c r="AB216" t="s" s="15">
        <v>8</v>
      </c>
      <c r="AC216" s="27"/>
      <c r="AD216" s="182" cm="1">
        <f t="array" ref="AD216">G216+I216+K216+M216+O216+Q216+S216+U216+W216+Y216+AA216+AC216</f>
        <v>3000</v>
      </c>
      <c r="AE216" s="183" cm="1">
        <f t="array" ref="AE216">900*12</f>
        <v>10800</v>
      </c>
      <c r="AF216" s="51" cm="1">
        <f t="array" ref="AF216">AE216-AD216</f>
        <v>7800</v>
      </c>
    </row>
    <row r="217" ht="13.55" customHeight="1">
      <c r="A217" s="201"/>
      <c r="B217" s="27"/>
      <c r="C217" t="s" s="8">
        <v>9</v>
      </c>
      <c r="D217" s="26">
        <v>1000</v>
      </c>
      <c r="E217" s="23"/>
      <c r="F217" t="s" s="15">
        <v>10</v>
      </c>
      <c r="G217" t="s" s="33">
        <v>231</v>
      </c>
      <c r="H217" t="s" s="15">
        <v>10</v>
      </c>
      <c r="I217" t="s" s="33">
        <v>231</v>
      </c>
      <c r="J217" t="s" s="15">
        <v>10</v>
      </c>
      <c r="K217" t="s" s="33">
        <v>231</v>
      </c>
      <c r="L217" t="s" s="15">
        <v>10</v>
      </c>
      <c r="M217" s="215"/>
      <c r="N217" t="s" s="15">
        <v>10</v>
      </c>
      <c r="O217" s="215"/>
      <c r="P217" t="s" s="15">
        <v>10</v>
      </c>
      <c r="Q217" s="215"/>
      <c r="R217" t="s" s="15">
        <v>10</v>
      </c>
      <c r="S217" s="215"/>
      <c r="T217" t="s" s="15">
        <v>10</v>
      </c>
      <c r="U217" s="215"/>
      <c r="V217" t="s" s="15">
        <v>10</v>
      </c>
      <c r="W217" s="34"/>
      <c r="X217" t="s" s="15">
        <v>10</v>
      </c>
      <c r="Y217" s="34"/>
      <c r="Z217" t="s" s="15">
        <v>10</v>
      </c>
      <c r="AA217" s="34"/>
      <c r="AB217" t="s" s="15">
        <v>10</v>
      </c>
      <c r="AC217" s="34"/>
      <c r="AD217" s="180"/>
      <c r="AE217" s="177"/>
      <c r="AF217" s="7"/>
    </row>
    <row r="218" ht="13.75" customHeight="1">
      <c r="A218" s="201"/>
      <c r="B218" t="s" s="15">
        <v>413</v>
      </c>
      <c r="C218" s="23"/>
      <c r="D218" s="23"/>
      <c r="E218" t="s" s="15">
        <v>14</v>
      </c>
      <c r="F218" t="s" s="15">
        <v>6</v>
      </c>
      <c r="G218" s="212"/>
      <c r="H218" t="s" s="15">
        <v>6</v>
      </c>
      <c r="I218" s="16">
        <v>2137</v>
      </c>
      <c r="J218" t="s" s="15">
        <v>6</v>
      </c>
      <c r="K218" s="148"/>
      <c r="L218" t="s" s="15">
        <v>6</v>
      </c>
      <c r="M218" s="212"/>
      <c r="N218" t="s" s="15">
        <v>6</v>
      </c>
      <c r="O218" s="212"/>
      <c r="P218" t="s" s="15">
        <v>6</v>
      </c>
      <c r="Q218" s="212"/>
      <c r="R218" t="s" s="15">
        <v>6</v>
      </c>
      <c r="S218" s="212"/>
      <c r="T218" t="s" s="15">
        <v>6</v>
      </c>
      <c r="U218" s="212"/>
      <c r="V218" t="s" s="15">
        <v>6</v>
      </c>
      <c r="W218" s="18"/>
      <c r="X218" t="s" s="15">
        <v>6</v>
      </c>
      <c r="Y218" s="18"/>
      <c r="Z218" t="s" s="15">
        <v>6</v>
      </c>
      <c r="AA218" s="18"/>
      <c r="AB218" t="s" s="15">
        <v>6</v>
      </c>
      <c r="AC218" s="18"/>
      <c r="AD218" s="180"/>
      <c r="AE218" s="177"/>
      <c r="AF218" s="7"/>
    </row>
    <row r="219" ht="13.55" customHeight="1">
      <c r="A219" s="201"/>
      <c r="B219" t="s" s="15">
        <v>414</v>
      </c>
      <c r="C219" s="23"/>
      <c r="D219" s="23"/>
      <c r="E219" s="23"/>
      <c r="F219" t="s" s="15">
        <v>8</v>
      </c>
      <c r="G219" s="214"/>
      <c r="H219" t="s" s="15">
        <v>8</v>
      </c>
      <c r="I219" s="26">
        <v>600</v>
      </c>
      <c r="J219" t="s" s="15">
        <v>8</v>
      </c>
      <c r="K219" s="149"/>
      <c r="L219" t="s" s="15">
        <v>8</v>
      </c>
      <c r="M219" s="214"/>
      <c r="N219" t="s" s="15">
        <v>8</v>
      </c>
      <c r="O219" s="203"/>
      <c r="P219" t="s" s="15">
        <v>8</v>
      </c>
      <c r="Q219" s="214"/>
      <c r="R219" t="s" s="15">
        <v>8</v>
      </c>
      <c r="S219" s="214"/>
      <c r="T219" t="s" s="15">
        <v>8</v>
      </c>
      <c r="U219" s="214"/>
      <c r="V219" t="s" s="15">
        <v>8</v>
      </c>
      <c r="W219" s="27"/>
      <c r="X219" t="s" s="15">
        <v>8</v>
      </c>
      <c r="Y219" s="27"/>
      <c r="Z219" t="s" s="15">
        <v>8</v>
      </c>
      <c r="AA219" s="27"/>
      <c r="AB219" t="s" s="15">
        <v>8</v>
      </c>
      <c r="AC219" s="27"/>
      <c r="AD219" s="180" cm="1">
        <f t="array" ref="AD219">G219+I219+K219+M219+O219+Q219+S219+U219+W219+Y219+AA219+AC219</f>
      </c>
      <c r="AE219" s="183" cm="1">
        <f t="array" ref="AE219">500*11</f>
        <v>5500</v>
      </c>
      <c r="AF219" s="7" cm="1">
        <f t="array" ref="AF219">AE219-AD219</f>
      </c>
    </row>
    <row r="220" ht="13.55" customHeight="1">
      <c r="A220" s="204"/>
      <c r="B220" s="23"/>
      <c r="C220" s="23"/>
      <c r="D220" s="23"/>
      <c r="E220" s="23"/>
      <c r="F220" t="s" s="15">
        <v>10</v>
      </c>
      <c r="G220" s="215"/>
      <c r="H220" t="s" s="15">
        <v>10</v>
      </c>
      <c r="I220" t="s" s="33">
        <v>231</v>
      </c>
      <c r="J220" t="s" s="15">
        <v>10</v>
      </c>
      <c r="K220" s="150"/>
      <c r="L220" t="s" s="15">
        <v>10</v>
      </c>
      <c r="M220" s="215"/>
      <c r="N220" t="s" s="15">
        <v>10</v>
      </c>
      <c r="O220" s="215"/>
      <c r="P220" t="s" s="15">
        <v>10</v>
      </c>
      <c r="Q220" s="215"/>
      <c r="R220" t="s" s="15">
        <v>10</v>
      </c>
      <c r="S220" s="215"/>
      <c r="T220" t="s" s="15">
        <v>10</v>
      </c>
      <c r="U220" s="215"/>
      <c r="V220" t="s" s="15">
        <v>10</v>
      </c>
      <c r="W220" s="34"/>
      <c r="X220" t="s" s="15">
        <v>10</v>
      </c>
      <c r="Y220" s="34"/>
      <c r="Z220" t="s" s="15">
        <v>10</v>
      </c>
      <c r="AA220" s="34"/>
      <c r="AB220" t="s" s="15">
        <v>10</v>
      </c>
      <c r="AC220" s="34"/>
      <c r="AD220" s="213"/>
      <c r="AE220" s="177"/>
      <c r="AF220" s="7"/>
    </row>
    <row r="221" ht="13.55" customHeight="1">
      <c r="A221" s="23"/>
      <c r="B221" s="23"/>
      <c r="C221" s="23"/>
      <c r="D221" s="23"/>
      <c r="E221" s="23"/>
      <c r="F221" s="23"/>
      <c r="G221" s="216"/>
      <c r="H221" s="23"/>
      <c r="I221" s="216"/>
      <c r="J221" s="23"/>
      <c r="K221" s="216"/>
      <c r="L221" s="23"/>
      <c r="M221" s="216"/>
      <c r="N221" s="23"/>
      <c r="O221" s="216"/>
      <c r="P221" s="23"/>
      <c r="Q221" s="216"/>
      <c r="R221" s="23"/>
      <c r="S221" s="216"/>
      <c r="T221" s="23"/>
      <c r="U221" s="216"/>
      <c r="V221" s="23"/>
      <c r="W221" s="216"/>
      <c r="X221" s="23"/>
      <c r="Y221" s="216"/>
      <c r="Z221" s="23"/>
      <c r="AA221" s="216"/>
      <c r="AB221" s="23"/>
      <c r="AC221" s="216"/>
      <c r="AD221" s="213"/>
      <c r="AE221" s="177"/>
      <c r="AF221" s="7"/>
    </row>
    <row r="222" ht="13.75" customHeight="1">
      <c r="A222" s="219">
        <v>17</v>
      </c>
      <c r="B222" t="s" s="130">
        <v>415</v>
      </c>
      <c r="C222" s="23"/>
      <c r="D222" s="23"/>
      <c r="E222" t="s" s="15">
        <v>5</v>
      </c>
      <c r="F222" t="s" s="15">
        <v>6</v>
      </c>
      <c r="G222" s="16">
        <v>1225</v>
      </c>
      <c r="H222" t="s" s="15">
        <v>6</v>
      </c>
      <c r="I222" s="212"/>
      <c r="J222" t="s" s="15">
        <v>6</v>
      </c>
      <c r="K222" s="212"/>
      <c r="L222" t="s" s="15">
        <v>6</v>
      </c>
      <c r="M222" s="212"/>
      <c r="N222" t="s" s="15">
        <v>6</v>
      </c>
      <c r="O222" s="212"/>
      <c r="P222" t="s" s="15">
        <v>6</v>
      </c>
      <c r="Q222" s="212"/>
      <c r="R222" s="72"/>
      <c r="S222" s="220"/>
      <c r="T222" s="70"/>
      <c r="U222" s="220"/>
      <c r="V222" s="70"/>
      <c r="W222" s="220"/>
      <c r="X222" s="70"/>
      <c r="Y222" s="220"/>
      <c r="Z222" s="70"/>
      <c r="AA222" s="220"/>
      <c r="AB222" s="70"/>
      <c r="AC222" s="220"/>
      <c r="AD222" s="221"/>
      <c r="AE222" s="7"/>
      <c r="AF222" s="7"/>
    </row>
    <row r="223" ht="13.55" customHeight="1">
      <c r="A223" s="222"/>
      <c r="B223" s="23"/>
      <c r="C223" s="27"/>
      <c r="D223" s="27"/>
      <c r="E223" s="23"/>
      <c r="F223" t="s" s="15">
        <v>8</v>
      </c>
      <c r="G223" s="26">
        <v>500</v>
      </c>
      <c r="H223" t="s" s="15">
        <v>8</v>
      </c>
      <c r="I223" s="214"/>
      <c r="J223" t="s" s="15">
        <v>8</v>
      </c>
      <c r="K223" s="214"/>
      <c r="L223" t="s" s="15">
        <v>8</v>
      </c>
      <c r="M223" s="214"/>
      <c r="N223" t="s" s="15">
        <v>8</v>
      </c>
      <c r="O223" s="203"/>
      <c r="P223" t="s" s="15">
        <v>8</v>
      </c>
      <c r="Q223" s="214"/>
      <c r="R223" s="13"/>
      <c r="S223" s="223"/>
      <c r="T223" s="7"/>
      <c r="U223" s="223"/>
      <c r="V223" s="7"/>
      <c r="W223" s="223"/>
      <c r="X223" s="7"/>
      <c r="Y223" s="223"/>
      <c r="Z223" s="7"/>
      <c r="AA223" s="223"/>
      <c r="AB223" s="7"/>
      <c r="AC223" s="223"/>
      <c r="AD223" s="224"/>
      <c r="AE223" s="7"/>
      <c r="AF223" s="7"/>
    </row>
    <row r="224" ht="13.75" customHeight="1">
      <c r="A224" s="222"/>
      <c r="B224" t="s" s="87">
        <v>416</v>
      </c>
      <c r="C224" t="s" s="8">
        <v>9</v>
      </c>
      <c r="D224" s="26">
        <v>1000</v>
      </c>
      <c r="E224" s="23"/>
      <c r="F224" t="s" s="15">
        <v>10</v>
      </c>
      <c r="G224" t="s" s="33">
        <v>47</v>
      </c>
      <c r="H224" t="s" s="15">
        <v>10</v>
      </c>
      <c r="I224" s="215"/>
      <c r="J224" t="s" s="15">
        <v>10</v>
      </c>
      <c r="K224" s="215"/>
      <c r="L224" t="s" s="15">
        <v>10</v>
      </c>
      <c r="M224" s="215"/>
      <c r="N224" t="s" s="15">
        <v>10</v>
      </c>
      <c r="O224" s="215"/>
      <c r="P224" t="s" s="15">
        <v>10</v>
      </c>
      <c r="Q224" s="215"/>
      <c r="R224" s="13"/>
      <c r="S224" s="223"/>
      <c r="T224" s="7"/>
      <c r="U224" s="223"/>
      <c r="V224" s="7"/>
      <c r="W224" s="223"/>
      <c r="X224" s="7"/>
      <c r="Y224" s="223"/>
      <c r="Z224" s="7"/>
      <c r="AA224" s="223"/>
      <c r="AB224" s="7"/>
      <c r="AC224" s="223"/>
      <c r="AD224" s="224"/>
      <c r="AE224" s="7"/>
      <c r="AF224" s="7"/>
    </row>
    <row r="225" ht="13.75" customHeight="1">
      <c r="A225" s="222"/>
      <c r="B225" t="s" s="15">
        <v>417</v>
      </c>
      <c r="C225" s="23"/>
      <c r="D225" s="23"/>
      <c r="E225" t="s" s="15">
        <v>14</v>
      </c>
      <c r="F225" t="s" s="15">
        <v>6</v>
      </c>
      <c r="G225" s="16">
        <v>2130</v>
      </c>
      <c r="H225" t="s" s="15">
        <v>6</v>
      </c>
      <c r="I225" s="212"/>
      <c r="J225" t="s" s="15">
        <v>6</v>
      </c>
      <c r="K225" s="148"/>
      <c r="L225" t="s" s="15">
        <v>6</v>
      </c>
      <c r="M225" s="212"/>
      <c r="N225" t="s" s="15">
        <v>6</v>
      </c>
      <c r="O225" s="212"/>
      <c r="P225" t="s" s="15">
        <v>6</v>
      </c>
      <c r="Q225" s="212"/>
      <c r="R225" s="13"/>
      <c r="S225" s="223"/>
      <c r="T225" s="7"/>
      <c r="U225" s="223"/>
      <c r="V225" s="7"/>
      <c r="W225" s="223"/>
      <c r="X225" s="7"/>
      <c r="Y225" s="223"/>
      <c r="Z225" s="7"/>
      <c r="AA225" s="223"/>
      <c r="AB225" s="7"/>
      <c r="AC225" s="223"/>
      <c r="AD225" s="224"/>
      <c r="AE225" s="7"/>
      <c r="AF225" s="7"/>
    </row>
    <row r="226" ht="13.55" customHeight="1">
      <c r="A226" s="222"/>
      <c r="B226" t="s" s="15">
        <v>418</v>
      </c>
      <c r="C226" s="23"/>
      <c r="D226" s="23"/>
      <c r="E226" s="23"/>
      <c r="F226" t="s" s="15">
        <v>8</v>
      </c>
      <c r="G226" s="26">
        <v>600</v>
      </c>
      <c r="H226" t="s" s="15">
        <v>8</v>
      </c>
      <c r="I226" s="214"/>
      <c r="J226" t="s" s="15">
        <v>8</v>
      </c>
      <c r="K226" s="149"/>
      <c r="L226" t="s" s="15">
        <v>8</v>
      </c>
      <c r="M226" s="214"/>
      <c r="N226" t="s" s="15">
        <v>8</v>
      </c>
      <c r="O226" s="203"/>
      <c r="P226" t="s" s="15">
        <v>8</v>
      </c>
      <c r="Q226" s="214"/>
      <c r="R226" s="13"/>
      <c r="S226" s="223"/>
      <c r="T226" s="7"/>
      <c r="U226" s="223"/>
      <c r="V226" s="7"/>
      <c r="W226" s="223"/>
      <c r="X226" s="7"/>
      <c r="Y226" s="223"/>
      <c r="Z226" s="7"/>
      <c r="AA226" s="223"/>
      <c r="AB226" s="7"/>
      <c r="AC226" s="223"/>
      <c r="AD226" s="224"/>
      <c r="AE226" s="7"/>
      <c r="AF226" s="7"/>
    </row>
    <row r="227" ht="13.55" customHeight="1">
      <c r="A227" s="222"/>
      <c r="B227" s="24"/>
      <c r="C227" s="23"/>
      <c r="D227" s="23"/>
      <c r="E227" s="23"/>
      <c r="F227" t="s" s="15">
        <v>10</v>
      </c>
      <c r="G227" t="s" s="33">
        <v>47</v>
      </c>
      <c r="H227" t="s" s="15">
        <v>10</v>
      </c>
      <c r="I227" s="215"/>
      <c r="J227" t="s" s="15">
        <v>10</v>
      </c>
      <c r="K227" s="150"/>
      <c r="L227" t="s" s="15">
        <v>10</v>
      </c>
      <c r="M227" s="215"/>
      <c r="N227" t="s" s="15">
        <v>10</v>
      </c>
      <c r="O227" s="215"/>
      <c r="P227" t="s" s="15">
        <v>10</v>
      </c>
      <c r="Q227" s="215"/>
      <c r="R227" s="13"/>
      <c r="S227" s="223"/>
      <c r="T227" s="7"/>
      <c r="U227" s="223"/>
      <c r="V227" s="7"/>
      <c r="W227" s="223"/>
      <c r="X227" s="7"/>
      <c r="Y227" s="223"/>
      <c r="Z227" s="7"/>
      <c r="AA227" s="223"/>
      <c r="AB227" s="7"/>
      <c r="AC227" s="223"/>
      <c r="AD227" s="224"/>
      <c r="AE227" s="7"/>
      <c r="AF227" s="7"/>
    </row>
    <row r="228" ht="13.55" customHeight="1">
      <c r="A228" s="225"/>
      <c r="B228" s="125"/>
      <c r="C228" s="65"/>
      <c r="D228" s="65"/>
      <c r="E228" s="65"/>
      <c r="F228" s="65"/>
      <c r="G228" s="226"/>
      <c r="H228" s="65"/>
      <c r="I228" s="226"/>
      <c r="J228" s="65"/>
      <c r="K228" s="227"/>
      <c r="L228" s="23"/>
      <c r="M228" s="216"/>
      <c r="N228" s="23"/>
      <c r="O228" s="216"/>
      <c r="P228" s="23"/>
      <c r="Q228" s="216"/>
      <c r="R228" s="13"/>
      <c r="S228" s="223"/>
      <c r="T228" s="7"/>
      <c r="U228" s="223"/>
      <c r="V228" s="7"/>
      <c r="W228" s="223"/>
      <c r="X228" s="7"/>
      <c r="Y228" s="223"/>
      <c r="Z228" s="7"/>
      <c r="AA228" s="223"/>
      <c r="AB228" s="7"/>
      <c r="AC228" s="223"/>
      <c r="AD228" s="224"/>
      <c r="AE228" s="7"/>
      <c r="AF228" s="7"/>
    </row>
    <row r="229" ht="13.75" customHeight="1">
      <c r="A229" s="219">
        <v>18</v>
      </c>
      <c r="B229" t="s" s="130">
        <v>419</v>
      </c>
      <c r="C229" s="23"/>
      <c r="D229" s="23"/>
      <c r="E229" t="s" s="15">
        <v>5</v>
      </c>
      <c r="F229" t="s" s="15">
        <v>6</v>
      </c>
      <c r="G229" s="16">
        <v>3224</v>
      </c>
      <c r="H229" t="s" s="15">
        <v>6</v>
      </c>
      <c r="I229" s="16">
        <v>3224</v>
      </c>
      <c r="J229" t="s" s="15">
        <v>6</v>
      </c>
      <c r="K229" s="16">
        <v>3277</v>
      </c>
      <c r="L229" t="s" s="15">
        <v>6</v>
      </c>
      <c r="M229" s="212"/>
      <c r="N229" t="s" s="15">
        <v>6</v>
      </c>
      <c r="O229" s="212"/>
      <c r="P229" t="s" s="15">
        <v>6</v>
      </c>
      <c r="Q229" s="212"/>
      <c r="R229" s="13"/>
      <c r="S229" s="223"/>
      <c r="T229" s="7"/>
      <c r="U229" s="223"/>
      <c r="V229" s="7"/>
      <c r="W229" s="223"/>
      <c r="X229" s="7"/>
      <c r="Y229" s="223"/>
      <c r="Z229" s="7"/>
      <c r="AA229" s="223"/>
      <c r="AB229" s="7"/>
      <c r="AC229" s="223"/>
      <c r="AD229" s="224"/>
      <c r="AE229" s="7"/>
      <c r="AF229" s="7"/>
    </row>
    <row r="230" ht="13.75" customHeight="1">
      <c r="A230" s="222"/>
      <c r="B230" t="s" s="228">
        <v>68</v>
      </c>
      <c r="C230" t="s" s="8">
        <v>7</v>
      </c>
      <c r="D230" s="26">
        <v>1000</v>
      </c>
      <c r="E230" s="23"/>
      <c r="F230" t="s" s="15">
        <v>8</v>
      </c>
      <c r="G230" s="26">
        <v>500</v>
      </c>
      <c r="H230" t="s" s="15">
        <v>8</v>
      </c>
      <c r="I230" s="26">
        <v>500</v>
      </c>
      <c r="J230" t="s" s="15">
        <v>8</v>
      </c>
      <c r="K230" s="26">
        <v>500</v>
      </c>
      <c r="L230" t="s" s="15">
        <v>8</v>
      </c>
      <c r="M230" s="214"/>
      <c r="N230" t="s" s="15">
        <v>8</v>
      </c>
      <c r="O230" s="203"/>
      <c r="P230" t="s" s="15">
        <v>8</v>
      </c>
      <c r="Q230" s="214"/>
      <c r="R230" s="13"/>
      <c r="S230" s="223"/>
      <c r="T230" s="7"/>
      <c r="U230" s="223"/>
      <c r="V230" s="7"/>
      <c r="W230" s="223"/>
      <c r="X230" s="7"/>
      <c r="Y230" s="223"/>
      <c r="Z230" s="7"/>
      <c r="AA230" s="223"/>
      <c r="AB230" s="7"/>
      <c r="AC230" s="223"/>
      <c r="AD230" s="224"/>
      <c r="AE230" s="7"/>
      <c r="AF230" s="7"/>
    </row>
    <row r="231" ht="13.55" customHeight="1">
      <c r="A231" s="222"/>
      <c r="B231" s="27"/>
      <c r="C231" t="s" s="8">
        <v>9</v>
      </c>
      <c r="D231" s="26">
        <v>1000</v>
      </c>
      <c r="E231" s="23"/>
      <c r="F231" t="s" s="15">
        <v>10</v>
      </c>
      <c r="G231" t="s" s="33">
        <v>420</v>
      </c>
      <c r="H231" t="s" s="15">
        <v>10</v>
      </c>
      <c r="I231" t="s" s="33">
        <v>420</v>
      </c>
      <c r="J231" t="s" s="15">
        <v>10</v>
      </c>
      <c r="K231" t="s" s="33">
        <v>365</v>
      </c>
      <c r="L231" t="s" s="15">
        <v>10</v>
      </c>
      <c r="M231" s="215"/>
      <c r="N231" t="s" s="15">
        <v>10</v>
      </c>
      <c r="O231" s="215"/>
      <c r="P231" t="s" s="15">
        <v>10</v>
      </c>
      <c r="Q231" s="215"/>
      <c r="R231" s="13"/>
      <c r="S231" s="223"/>
      <c r="T231" s="7"/>
      <c r="U231" s="223"/>
      <c r="V231" s="7"/>
      <c r="W231" s="223"/>
      <c r="X231" s="7"/>
      <c r="Y231" s="223"/>
      <c r="Z231" s="7"/>
      <c r="AA231" s="223"/>
      <c r="AB231" s="7"/>
      <c r="AC231" s="223"/>
      <c r="AD231" s="224"/>
      <c r="AE231" s="7"/>
      <c r="AF231" s="7"/>
    </row>
    <row r="232" ht="13.75" customHeight="1">
      <c r="A232" s="222"/>
      <c r="B232" t="s" s="15">
        <v>421</v>
      </c>
      <c r="C232" s="23"/>
      <c r="D232" s="23"/>
      <c r="E232" t="s" s="15">
        <v>14</v>
      </c>
      <c r="F232" t="s" s="15">
        <v>6</v>
      </c>
      <c r="G232" t="s" s="229">
        <v>422</v>
      </c>
      <c r="H232" t="s" s="15">
        <v>6</v>
      </c>
      <c r="I232" s="16">
        <v>2224</v>
      </c>
      <c r="J232" t="s" s="15">
        <v>6</v>
      </c>
      <c r="K232" s="148"/>
      <c r="L232" t="s" s="15">
        <v>6</v>
      </c>
      <c r="M232" s="212"/>
      <c r="N232" t="s" s="15">
        <v>6</v>
      </c>
      <c r="O232" s="212"/>
      <c r="P232" t="s" s="15">
        <v>6</v>
      </c>
      <c r="Q232" s="212"/>
      <c r="R232" s="13"/>
      <c r="S232" s="223"/>
      <c r="T232" s="7"/>
      <c r="U232" s="223"/>
      <c r="V232" s="7"/>
      <c r="W232" s="223"/>
      <c r="X232" s="7"/>
      <c r="Y232" s="223"/>
      <c r="Z232" s="7"/>
      <c r="AA232" s="223"/>
      <c r="AB232" s="7"/>
      <c r="AC232" s="223"/>
      <c r="AD232" s="224"/>
      <c r="AE232" s="7"/>
      <c r="AF232" s="7"/>
    </row>
    <row r="233" ht="13.55" customHeight="1">
      <c r="A233" s="222"/>
      <c r="B233" t="s" s="15">
        <v>423</v>
      </c>
      <c r="C233" s="23"/>
      <c r="D233" s="23"/>
      <c r="E233" s="23"/>
      <c r="F233" t="s" s="15">
        <v>8</v>
      </c>
      <c r="G233" s="230"/>
      <c r="H233" t="s" s="15">
        <v>8</v>
      </c>
      <c r="I233" s="26">
        <v>1400</v>
      </c>
      <c r="J233" t="s" s="15">
        <v>8</v>
      </c>
      <c r="K233" s="149"/>
      <c r="L233" t="s" s="15">
        <v>8</v>
      </c>
      <c r="M233" s="214"/>
      <c r="N233" t="s" s="15">
        <v>8</v>
      </c>
      <c r="O233" s="203"/>
      <c r="P233" t="s" s="15">
        <v>8</v>
      </c>
      <c r="Q233" s="214"/>
      <c r="R233" s="13"/>
      <c r="S233" s="223"/>
      <c r="T233" s="7"/>
      <c r="U233" s="223"/>
      <c r="V233" s="7"/>
      <c r="W233" s="223"/>
      <c r="X233" s="7"/>
      <c r="Y233" s="223"/>
      <c r="Z233" s="7"/>
      <c r="AA233" s="223"/>
      <c r="AB233" s="7"/>
      <c r="AC233" s="223"/>
      <c r="AD233" s="224"/>
      <c r="AE233" s="7"/>
      <c r="AF233" s="7"/>
    </row>
    <row r="234" ht="13.55" customHeight="1">
      <c r="A234" s="231"/>
      <c r="B234" s="24"/>
      <c r="C234" s="23"/>
      <c r="D234" s="23"/>
      <c r="E234" s="23"/>
      <c r="F234" t="s" s="15">
        <v>10</v>
      </c>
      <c r="G234" s="232"/>
      <c r="H234" t="s" s="15">
        <v>10</v>
      </c>
      <c r="I234" t="s" s="33">
        <v>86</v>
      </c>
      <c r="J234" t="s" s="15">
        <v>10</v>
      </c>
      <c r="K234" s="150"/>
      <c r="L234" t="s" s="15">
        <v>10</v>
      </c>
      <c r="M234" s="215"/>
      <c r="N234" t="s" s="15">
        <v>10</v>
      </c>
      <c r="O234" s="215"/>
      <c r="P234" t="s" s="15">
        <v>10</v>
      </c>
      <c r="Q234" s="215"/>
      <c r="R234" s="13"/>
      <c r="S234" s="223"/>
      <c r="T234" s="7"/>
      <c r="U234" s="223"/>
      <c r="V234" s="7"/>
      <c r="W234" s="223"/>
      <c r="X234" s="7"/>
      <c r="Y234" s="223"/>
      <c r="Z234" s="7"/>
      <c r="AA234" s="223"/>
      <c r="AB234" s="7"/>
      <c r="AC234" s="223"/>
      <c r="AD234" s="224"/>
      <c r="AE234" s="7"/>
      <c r="AF234" s="7"/>
    </row>
    <row r="235" ht="13.55" customHeight="1">
      <c r="A235" s="65"/>
      <c r="B235" s="111"/>
      <c r="C235" s="65"/>
      <c r="D235" s="65"/>
      <c r="E235" s="65"/>
      <c r="F235" s="65"/>
      <c r="G235" s="226"/>
      <c r="H235" s="65"/>
      <c r="I235" s="226"/>
      <c r="J235" s="65"/>
      <c r="K235" s="226"/>
      <c r="L235" s="65"/>
      <c r="M235" s="226"/>
      <c r="N235" s="65"/>
      <c r="O235" s="226"/>
      <c r="P235" s="65"/>
      <c r="Q235" s="226"/>
      <c r="R235" s="7"/>
      <c r="S235" s="223"/>
      <c r="T235" s="7"/>
      <c r="U235" s="223"/>
      <c r="V235" s="7"/>
      <c r="W235" s="223"/>
      <c r="X235" s="7"/>
      <c r="Y235" s="223"/>
      <c r="Z235" s="7"/>
      <c r="AA235" s="223"/>
      <c r="AB235" s="7"/>
      <c r="AC235" s="223"/>
      <c r="AD235" s="224"/>
      <c r="AE235" s="7"/>
      <c r="AF235" s="7"/>
    </row>
    <row r="236" ht="13.75" customHeight="1">
      <c r="A236" s="219">
        <v>19</v>
      </c>
      <c r="B236" t="s" s="130">
        <v>424</v>
      </c>
      <c r="C236" s="23"/>
      <c r="D236" s="23"/>
      <c r="E236" t="s" s="15">
        <v>5</v>
      </c>
      <c r="F236" t="s" s="15">
        <v>6</v>
      </c>
      <c r="G236" s="18"/>
      <c r="H236" t="s" s="15">
        <v>6</v>
      </c>
      <c r="I236" s="18"/>
      <c r="J236" t="s" s="15">
        <v>6</v>
      </c>
      <c r="K236" s="16">
        <v>3264</v>
      </c>
      <c r="L236" t="s" s="15">
        <v>6</v>
      </c>
      <c r="M236" s="16">
        <v>3264</v>
      </c>
      <c r="N236" t="s" s="15">
        <v>6</v>
      </c>
      <c r="O236" s="16">
        <v>3264</v>
      </c>
      <c r="P236" t="s" s="15">
        <v>6</v>
      </c>
      <c r="Q236" s="212"/>
      <c r="R236" s="13"/>
      <c r="S236" s="223"/>
      <c r="T236" s="7"/>
      <c r="U236" s="223"/>
      <c r="V236" s="7"/>
      <c r="W236" s="223"/>
      <c r="X236" s="7"/>
      <c r="Y236" s="223"/>
      <c r="Z236" s="7"/>
      <c r="AA236" s="223"/>
      <c r="AB236" s="7"/>
      <c r="AC236" s="223"/>
      <c r="AD236" s="224"/>
      <c r="AE236" s="7"/>
      <c r="AF236" s="7"/>
    </row>
    <row r="237" ht="13.75" customHeight="1">
      <c r="A237" s="222"/>
      <c r="B237" t="s" s="228">
        <v>68</v>
      </c>
      <c r="C237" t="s" s="8">
        <v>7</v>
      </c>
      <c r="D237" s="26">
        <v>1000</v>
      </c>
      <c r="E237" s="23"/>
      <c r="F237" t="s" s="15">
        <v>8</v>
      </c>
      <c r="G237" s="27"/>
      <c r="H237" t="s" s="15">
        <v>8</v>
      </c>
      <c r="I237" s="27"/>
      <c r="J237" t="s" s="15">
        <v>8</v>
      </c>
      <c r="K237" s="26">
        <v>1000</v>
      </c>
      <c r="L237" t="s" s="15">
        <v>8</v>
      </c>
      <c r="M237" s="26">
        <v>1000</v>
      </c>
      <c r="N237" t="s" s="15">
        <v>8</v>
      </c>
      <c r="O237" s="26">
        <v>1000</v>
      </c>
      <c r="P237" t="s" s="15">
        <v>8</v>
      </c>
      <c r="Q237" s="214"/>
      <c r="R237" s="13"/>
      <c r="S237" s="223"/>
      <c r="T237" s="7"/>
      <c r="U237" s="223"/>
      <c r="V237" s="7"/>
      <c r="W237" s="223"/>
      <c r="X237" s="7"/>
      <c r="Y237" s="223"/>
      <c r="Z237" s="7"/>
      <c r="AA237" s="223"/>
      <c r="AB237" s="7"/>
      <c r="AC237" s="223"/>
      <c r="AD237" s="224"/>
      <c r="AE237" s="7"/>
      <c r="AF237" s="7"/>
    </row>
    <row r="238" ht="13.55" customHeight="1">
      <c r="A238" s="222"/>
      <c r="B238" s="27"/>
      <c r="C238" t="s" s="8">
        <v>9</v>
      </c>
      <c r="D238" s="26">
        <v>1000</v>
      </c>
      <c r="E238" s="23"/>
      <c r="F238" t="s" s="15">
        <v>10</v>
      </c>
      <c r="G238" s="34"/>
      <c r="H238" t="s" s="15">
        <v>10</v>
      </c>
      <c r="I238" s="34"/>
      <c r="J238" t="s" s="15">
        <v>10</v>
      </c>
      <c r="K238" t="s" s="33">
        <v>86</v>
      </c>
      <c r="L238" t="s" s="15">
        <v>10</v>
      </c>
      <c r="M238" t="s" s="33">
        <v>86</v>
      </c>
      <c r="N238" t="s" s="15">
        <v>10</v>
      </c>
      <c r="O238" t="s" s="33">
        <v>86</v>
      </c>
      <c r="P238" t="s" s="15">
        <v>10</v>
      </c>
      <c r="Q238" s="215"/>
      <c r="R238" s="13"/>
      <c r="S238" s="223"/>
      <c r="T238" s="7"/>
      <c r="U238" s="223"/>
      <c r="V238" s="7"/>
      <c r="W238" s="223"/>
      <c r="X238" s="7"/>
      <c r="Y238" s="223"/>
      <c r="Z238" s="7"/>
      <c r="AA238" s="223"/>
      <c r="AB238" s="7"/>
      <c r="AC238" s="223"/>
      <c r="AD238" s="224"/>
      <c r="AE238" s="7"/>
      <c r="AF238" s="7"/>
    </row>
    <row r="239" ht="13.75" customHeight="1">
      <c r="A239" s="222"/>
      <c r="B239" t="s" s="15">
        <v>425</v>
      </c>
      <c r="C239" s="23"/>
      <c r="D239" s="23"/>
      <c r="E239" t="s" s="15">
        <v>14</v>
      </c>
      <c r="F239" t="s" s="15">
        <v>6</v>
      </c>
      <c r="G239" t="s" s="229">
        <v>422</v>
      </c>
      <c r="H239" t="s" s="15">
        <v>6</v>
      </c>
      <c r="I239" s="18"/>
      <c r="J239" t="s" s="15">
        <v>6</v>
      </c>
      <c r="K239" s="16">
        <v>2225</v>
      </c>
      <c r="L239" t="s" s="15">
        <v>6</v>
      </c>
      <c r="M239" s="212"/>
      <c r="N239" t="s" s="15">
        <v>6</v>
      </c>
      <c r="O239" s="212"/>
      <c r="P239" t="s" s="15">
        <v>6</v>
      </c>
      <c r="Q239" s="212"/>
      <c r="R239" s="13"/>
      <c r="S239" s="223"/>
      <c r="T239" s="7"/>
      <c r="U239" s="223"/>
      <c r="V239" s="7"/>
      <c r="W239" s="223"/>
      <c r="X239" s="7"/>
      <c r="Y239" s="223"/>
      <c r="Z239" s="7"/>
      <c r="AA239" s="223"/>
      <c r="AB239" s="7"/>
      <c r="AC239" s="223"/>
      <c r="AD239" s="224"/>
      <c r="AE239" s="7"/>
      <c r="AF239" s="7"/>
    </row>
    <row r="240" ht="13.55" customHeight="1">
      <c r="A240" s="222"/>
      <c r="B240" t="s" s="15">
        <v>426</v>
      </c>
      <c r="C240" s="23"/>
      <c r="D240" s="23"/>
      <c r="E240" s="23"/>
      <c r="F240" t="s" s="15">
        <v>8</v>
      </c>
      <c r="G240" s="230"/>
      <c r="H240" t="s" s="15">
        <v>8</v>
      </c>
      <c r="I240" s="27"/>
      <c r="J240" t="s" s="15">
        <v>8</v>
      </c>
      <c r="K240" s="26">
        <v>1200</v>
      </c>
      <c r="L240" t="s" s="15">
        <v>8</v>
      </c>
      <c r="M240" s="214"/>
      <c r="N240" t="s" s="15">
        <v>8</v>
      </c>
      <c r="O240" s="203"/>
      <c r="P240" t="s" s="15">
        <v>8</v>
      </c>
      <c r="Q240" s="214"/>
      <c r="R240" s="13"/>
      <c r="S240" s="223"/>
      <c r="T240" s="7"/>
      <c r="U240" s="223"/>
      <c r="V240" s="7"/>
      <c r="W240" s="223"/>
      <c r="X240" s="7"/>
      <c r="Y240" s="223"/>
      <c r="Z240" s="7"/>
      <c r="AA240" s="223"/>
      <c r="AB240" s="7"/>
      <c r="AC240" s="223"/>
      <c r="AD240" s="224"/>
      <c r="AE240" s="7"/>
      <c r="AF240" s="7"/>
    </row>
    <row r="241" ht="13.55" customHeight="1">
      <c r="A241" s="231"/>
      <c r="B241" s="24"/>
      <c r="C241" s="23"/>
      <c r="D241" s="23"/>
      <c r="E241" s="23"/>
      <c r="F241" t="s" s="15">
        <v>10</v>
      </c>
      <c r="G241" s="232"/>
      <c r="H241" t="s" s="15">
        <v>10</v>
      </c>
      <c r="I241" s="34"/>
      <c r="J241" t="s" s="15">
        <v>10</v>
      </c>
      <c r="K241" t="s" s="33">
        <v>86</v>
      </c>
      <c r="L241" t="s" s="15">
        <v>10</v>
      </c>
      <c r="M241" s="215"/>
      <c r="N241" t="s" s="15">
        <v>10</v>
      </c>
      <c r="O241" s="215"/>
      <c r="P241" t="s" s="15">
        <v>10</v>
      </c>
      <c r="Q241" s="215"/>
      <c r="R241" s="13"/>
      <c r="S241" s="223"/>
      <c r="T241" s="7"/>
      <c r="U241" s="223"/>
      <c r="V241" s="7"/>
      <c r="W241" s="223"/>
      <c r="X241" s="7"/>
      <c r="Y241" s="223"/>
      <c r="Z241" s="7"/>
      <c r="AA241" s="223"/>
      <c r="AB241" s="7"/>
      <c r="AC241" s="223"/>
      <c r="AD241" s="224"/>
      <c r="AE241" s="7"/>
      <c r="AF241" s="7"/>
    </row>
    <row r="242" ht="13.55" customHeight="1">
      <c r="A242" s="70"/>
      <c r="B242" s="7"/>
      <c r="C242" s="70"/>
      <c r="D242" s="70"/>
      <c r="E242" s="70"/>
      <c r="F242" s="70"/>
      <c r="G242" s="220"/>
      <c r="H242" s="70"/>
      <c r="I242" s="220"/>
      <c r="J242" s="70"/>
      <c r="K242" s="220"/>
      <c r="L242" s="70"/>
      <c r="M242" s="220"/>
      <c r="N242" s="70"/>
      <c r="O242" s="220"/>
      <c r="P242" s="70"/>
      <c r="Q242" s="220"/>
      <c r="R242" s="7"/>
      <c r="S242" s="223"/>
      <c r="T242" s="7"/>
      <c r="U242" s="223"/>
      <c r="V242" s="7"/>
      <c r="W242" s="223"/>
      <c r="X242" s="7"/>
      <c r="Y242" s="223"/>
      <c r="Z242" s="7"/>
      <c r="AA242" s="223"/>
      <c r="AB242" s="7"/>
      <c r="AC242" s="223"/>
      <c r="AD242" s="224"/>
      <c r="AE242" s="7"/>
      <c r="AF242" s="7"/>
    </row>
    <row r="243" ht="13.55" customHeight="1">
      <c r="A243" s="7"/>
      <c r="B243" s="7"/>
      <c r="C243" s="7"/>
      <c r="D243" s="7"/>
      <c r="E243" s="7"/>
      <c r="F243" s="7"/>
      <c r="G243" s="233"/>
      <c r="H243" s="7"/>
      <c r="I243" s="233"/>
      <c r="J243" s="7"/>
      <c r="K243" s="233"/>
      <c r="L243" s="7"/>
      <c r="M243" s="233"/>
      <c r="N243" s="7"/>
      <c r="O243" s="233"/>
      <c r="P243" s="7"/>
      <c r="Q243" s="233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3.55" customHeight="1">
      <c r="A244" s="7"/>
      <c r="B244" s="7"/>
      <c r="C244" s="7"/>
      <c r="D244" s="7"/>
      <c r="E244" s="7"/>
      <c r="F244" s="7"/>
      <c r="G244" s="79"/>
      <c r="H244" s="7"/>
      <c r="I244" s="79"/>
      <c r="J244" s="7"/>
      <c r="K244" s="79"/>
      <c r="L244" s="7"/>
      <c r="M244" s="79"/>
      <c r="N244" s="7"/>
      <c r="O244" s="79"/>
      <c r="P244" s="7"/>
      <c r="Q244" s="79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3.55" customHeight="1">
      <c r="A245" s="7"/>
      <c r="B245" s="7"/>
      <c r="C245" s="7"/>
      <c r="D245" s="7"/>
      <c r="E245" s="7"/>
      <c r="F245" s="7"/>
      <c r="G245" s="234"/>
      <c r="H245" s="7"/>
      <c r="I245" s="234"/>
      <c r="J245" s="7"/>
      <c r="K245" s="234"/>
      <c r="L245" s="7"/>
      <c r="M245" s="234"/>
      <c r="N245" s="7"/>
      <c r="O245" s="234"/>
      <c r="P245" s="7"/>
      <c r="Q245" s="233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3.55" customHeight="1">
      <c r="A246" s="7"/>
      <c r="B246" s="7"/>
      <c r="C246" s="7"/>
      <c r="D246" s="7"/>
      <c r="E246" s="7"/>
      <c r="F246" s="7"/>
      <c r="G246" s="7"/>
      <c r="H246" s="7"/>
      <c r="I246" s="233"/>
      <c r="J246" s="7"/>
      <c r="K246" s="7"/>
      <c r="L246" s="7"/>
      <c r="M246" s="233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3.55" customHeight="1">
      <c r="A247" s="7"/>
      <c r="B247" s="7"/>
      <c r="C247" s="7"/>
      <c r="D247" s="7"/>
      <c r="E247" s="7"/>
      <c r="F247" s="7"/>
      <c r="G247" s="7"/>
      <c r="H247" s="7"/>
      <c r="I247" s="79"/>
      <c r="J247" s="7"/>
      <c r="K247" s="7"/>
      <c r="L247" s="7"/>
      <c r="M247" s="7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3.55" customHeight="1">
      <c r="A248" s="7"/>
      <c r="B248" s="7"/>
      <c r="C248" s="7"/>
      <c r="D248" s="7"/>
      <c r="E248" s="7"/>
      <c r="F248" s="7"/>
      <c r="G248" s="7"/>
      <c r="H248" s="7"/>
      <c r="I248" s="234"/>
      <c r="J248" s="7"/>
      <c r="K248" s="7"/>
      <c r="L248" s="7"/>
      <c r="M248" s="234"/>
      <c r="N248" s="7"/>
      <c r="O248" s="224"/>
      <c r="P248" s="7"/>
      <c r="Q248" s="224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3.5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3.55" customHeight="1">
      <c r="A250" s="7"/>
      <c r="B250" s="7"/>
      <c r="C250" s="7"/>
      <c r="D250" s="7"/>
      <c r="E250" s="7"/>
      <c r="F250" s="7"/>
      <c r="G250" s="233"/>
      <c r="H250" s="7"/>
      <c r="I250" s="233"/>
      <c r="J250" s="7"/>
      <c r="K250" s="233"/>
      <c r="L250" s="7"/>
      <c r="M250" s="233"/>
      <c r="N250" s="7"/>
      <c r="O250" s="233"/>
      <c r="P250" s="7"/>
      <c r="Q250" s="233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3.55" customHeight="1">
      <c r="A251" s="7"/>
      <c r="B251" s="7"/>
      <c r="C251" s="7"/>
      <c r="D251" s="7"/>
      <c r="E251" s="7"/>
      <c r="F251" s="7"/>
      <c r="G251" s="79"/>
      <c r="H251" s="7"/>
      <c r="I251" s="79"/>
      <c r="J251" s="7"/>
      <c r="K251" s="79"/>
      <c r="L251" s="7"/>
      <c r="M251" s="79"/>
      <c r="N251" s="7"/>
      <c r="O251" s="79"/>
      <c r="P251" s="7"/>
      <c r="Q251" s="79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3.55" customHeight="1">
      <c r="A252" s="7"/>
      <c r="B252" s="7"/>
      <c r="C252" s="7"/>
      <c r="D252" s="7"/>
      <c r="E252" s="7"/>
      <c r="F252" s="7"/>
      <c r="G252" s="234"/>
      <c r="H252" s="7"/>
      <c r="I252" s="234"/>
      <c r="J252" s="7"/>
      <c r="K252" s="234"/>
      <c r="L252" s="7"/>
      <c r="M252" s="234"/>
      <c r="N252" s="7"/>
      <c r="O252" s="234"/>
      <c r="P252" s="7"/>
      <c r="Q252" s="233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3.55" customHeight="1">
      <c r="A253" s="7"/>
      <c r="B253" s="7"/>
      <c r="C253" s="7"/>
      <c r="D253" s="7"/>
      <c r="E253" s="7"/>
      <c r="F253" s="7"/>
      <c r="G253" s="233"/>
      <c r="H253" s="7"/>
      <c r="I253" s="7"/>
      <c r="J253" s="7"/>
      <c r="K253" s="7"/>
      <c r="L253" s="7"/>
      <c r="M253" s="233"/>
      <c r="N253" s="7"/>
      <c r="O253" s="233"/>
      <c r="P253" s="7"/>
      <c r="Q253" s="233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3.55" customHeight="1">
      <c r="A254" s="7"/>
      <c r="B254" s="7"/>
      <c r="C254" s="7"/>
      <c r="D254" s="7"/>
      <c r="E254" s="7"/>
      <c r="F254" s="7"/>
      <c r="G254" s="79"/>
      <c r="H254" s="7"/>
      <c r="I254" s="235"/>
      <c r="J254" s="7"/>
      <c r="K254" s="7"/>
      <c r="L254" s="7"/>
      <c r="M254" s="79"/>
      <c r="N254" s="7"/>
      <c r="O254" s="79"/>
      <c r="P254" s="7"/>
      <c r="Q254" s="79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3.55" customHeight="1">
      <c r="A255" s="7"/>
      <c r="B255" s="7"/>
      <c r="C255" s="7"/>
      <c r="D255" s="7"/>
      <c r="E255" s="7"/>
      <c r="F255" s="7"/>
      <c r="G255" s="234"/>
      <c r="H255" s="7"/>
      <c r="I255" s="224"/>
      <c r="J255" s="7"/>
      <c r="K255" s="7"/>
      <c r="L255" s="7"/>
      <c r="M255" s="234"/>
      <c r="N255" s="7"/>
      <c r="O255" s="234"/>
      <c r="P255" s="7"/>
      <c r="Q255" s="234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3.5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3.55" customHeight="1">
      <c r="A257" s="7"/>
      <c r="B257" s="7"/>
      <c r="C257" s="7"/>
      <c r="D257" s="7"/>
      <c r="E257" s="7"/>
      <c r="F257" s="7"/>
      <c r="G257" s="233"/>
      <c r="H257" s="7"/>
      <c r="I257" s="233"/>
      <c r="J257" s="7"/>
      <c r="K257" s="233"/>
      <c r="L257" s="7"/>
      <c r="M257" s="233"/>
      <c r="N257" s="7"/>
      <c r="O257" s="233"/>
      <c r="P257" s="7"/>
      <c r="Q257" s="233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3.55" customHeight="1">
      <c r="A258" s="7"/>
      <c r="B258" s="7"/>
      <c r="C258" s="7"/>
      <c r="D258" s="7"/>
      <c r="E258" s="7"/>
      <c r="F258" s="7"/>
      <c r="G258" s="79"/>
      <c r="H258" s="7"/>
      <c r="I258" s="79"/>
      <c r="J258" s="7"/>
      <c r="K258" s="79"/>
      <c r="L258" s="7"/>
      <c r="M258" s="79"/>
      <c r="N258" s="7"/>
      <c r="O258" s="79"/>
      <c r="P258" s="7"/>
      <c r="Q258" s="79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3.55" customHeight="1">
      <c r="A259" s="7"/>
      <c r="B259" s="7"/>
      <c r="C259" s="7"/>
      <c r="D259" s="7"/>
      <c r="E259" s="7"/>
      <c r="F259" s="7"/>
      <c r="G259" s="234"/>
      <c r="H259" s="7"/>
      <c r="I259" s="234"/>
      <c r="J259" s="7"/>
      <c r="K259" s="234"/>
      <c r="L259" s="7"/>
      <c r="M259" s="234"/>
      <c r="N259" s="7"/>
      <c r="O259" s="234"/>
      <c r="P259" s="7"/>
      <c r="Q259" s="233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3.55" customHeight="1">
      <c r="A260" s="7"/>
      <c r="B260" s="7"/>
      <c r="C260" s="7"/>
      <c r="D260" s="7"/>
      <c r="E260" s="7"/>
      <c r="F260" s="7"/>
      <c r="G260" s="233"/>
      <c r="H260" s="7"/>
      <c r="I260" s="233"/>
      <c r="J260" s="7"/>
      <c r="K260" s="7"/>
      <c r="L260" s="7"/>
      <c r="M260" s="233"/>
      <c r="N260" s="7"/>
      <c r="O260" s="233"/>
      <c r="P260" s="7"/>
      <c r="Q260" s="233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3.55" customHeight="1">
      <c r="A261" s="7"/>
      <c r="B261" s="7"/>
      <c r="C261" s="7"/>
      <c r="D261" s="7"/>
      <c r="E261" s="7"/>
      <c r="F261" s="7"/>
      <c r="G261" s="79"/>
      <c r="H261" s="7"/>
      <c r="I261" s="79"/>
      <c r="J261" s="7"/>
      <c r="K261" s="7"/>
      <c r="L261" s="7"/>
      <c r="M261" s="79"/>
      <c r="N261" s="7"/>
      <c r="O261" s="79"/>
      <c r="P261" s="7"/>
      <c r="Q261" s="79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3.55" customHeight="1">
      <c r="A262" s="7"/>
      <c r="B262" s="7"/>
      <c r="C262" s="7"/>
      <c r="D262" s="7"/>
      <c r="E262" s="7"/>
      <c r="F262" s="7"/>
      <c r="G262" s="234"/>
      <c r="H262" s="7"/>
      <c r="I262" s="234"/>
      <c r="J262" s="7"/>
      <c r="K262" s="7"/>
      <c r="L262" s="7"/>
      <c r="M262" s="234"/>
      <c r="N262" s="7"/>
      <c r="O262" s="234"/>
      <c r="P262" s="7"/>
      <c r="Q262" s="234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3.5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3.55" customHeight="1">
      <c r="A264" s="7"/>
      <c r="B264" s="7"/>
      <c r="C264" s="7"/>
      <c r="D264" s="7"/>
      <c r="E264" s="7"/>
      <c r="F264" s="7"/>
      <c r="G264" s="233"/>
      <c r="H264" s="7"/>
      <c r="I264" s="233"/>
      <c r="J264" s="7"/>
      <c r="K264" s="233"/>
      <c r="L264" s="7"/>
      <c r="M264" s="233"/>
      <c r="N264" s="7"/>
      <c r="O264" s="233"/>
      <c r="P264" s="7"/>
      <c r="Q264" s="233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3.55" customHeight="1">
      <c r="A265" s="7"/>
      <c r="B265" s="7"/>
      <c r="C265" s="7"/>
      <c r="D265" s="7"/>
      <c r="E265" s="7"/>
      <c r="F265" s="7"/>
      <c r="G265" s="79"/>
      <c r="H265" s="7"/>
      <c r="I265" s="79"/>
      <c r="J265" s="7"/>
      <c r="K265" s="79"/>
      <c r="L265" s="7"/>
      <c r="M265" s="79"/>
      <c r="N265" s="7"/>
      <c r="O265" s="79"/>
      <c r="P265" s="7"/>
      <c r="Q265" s="79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3.55" customHeight="1">
      <c r="A266" s="7"/>
      <c r="B266" s="7"/>
      <c r="C266" s="7"/>
      <c r="D266" s="7"/>
      <c r="E266" s="7"/>
      <c r="F266" s="7"/>
      <c r="G266" s="234"/>
      <c r="H266" s="7"/>
      <c r="I266" s="234"/>
      <c r="J266" s="7"/>
      <c r="K266" s="234"/>
      <c r="L266" s="7"/>
      <c r="M266" s="234"/>
      <c r="N266" s="7"/>
      <c r="O266" s="234"/>
      <c r="P266" s="7"/>
      <c r="Q266" s="233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3.55" customHeight="1">
      <c r="A267" s="7"/>
      <c r="B267" s="7"/>
      <c r="C267" s="7"/>
      <c r="D267" s="7"/>
      <c r="E267" s="7"/>
      <c r="F267" s="7"/>
      <c r="G267" s="7"/>
      <c r="H267" s="7"/>
      <c r="I267" s="233"/>
      <c r="J267" s="7"/>
      <c r="K267" s="7"/>
      <c r="L267" s="7"/>
      <c r="M267" s="233"/>
      <c r="N267" s="7"/>
      <c r="O267" s="233"/>
      <c r="P267" s="7"/>
      <c r="Q267" s="233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3.55" customHeight="1">
      <c r="A268" s="7"/>
      <c r="B268" s="7"/>
      <c r="C268" s="7"/>
      <c r="D268" s="7"/>
      <c r="E268" s="7"/>
      <c r="F268" s="7"/>
      <c r="G268" s="7"/>
      <c r="H268" s="7"/>
      <c r="I268" s="79"/>
      <c r="J268" s="7"/>
      <c r="K268" s="7"/>
      <c r="L268" s="7"/>
      <c r="M268" s="79"/>
      <c r="N268" s="7"/>
      <c r="O268" s="79"/>
      <c r="P268" s="7"/>
      <c r="Q268" s="79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3.55" customHeight="1">
      <c r="A269" s="7"/>
      <c r="B269" s="7"/>
      <c r="C269" s="7"/>
      <c r="D269" s="7"/>
      <c r="E269" s="7"/>
      <c r="F269" s="7"/>
      <c r="G269" s="7"/>
      <c r="H269" s="7"/>
      <c r="I269" s="224"/>
      <c r="J269" s="7"/>
      <c r="K269" s="7"/>
      <c r="L269" s="7"/>
      <c r="M269" s="224"/>
      <c r="N269" s="7"/>
      <c r="O269" s="224"/>
      <c r="P269" s="7"/>
      <c r="Q269" s="224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3.55" customHeight="1">
      <c r="A270" s="7"/>
      <c r="B270" s="7"/>
      <c r="C270" s="7"/>
      <c r="D270" s="7"/>
      <c r="E270" s="7"/>
      <c r="F270" s="7"/>
      <c r="G270" s="7"/>
      <c r="H270" s="7"/>
      <c r="I270" s="224"/>
      <c r="J270" s="7"/>
      <c r="K270" s="7"/>
      <c r="L270" s="7"/>
      <c r="M270" s="224"/>
      <c r="N270" s="7"/>
      <c r="O270" s="224"/>
      <c r="P270" s="7"/>
      <c r="Q270" s="224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3.55" customHeight="1">
      <c r="A271" s="7"/>
      <c r="B271" s="7"/>
      <c r="C271" s="7"/>
      <c r="D271" s="7"/>
      <c r="E271" s="7"/>
      <c r="F271" s="7"/>
      <c r="G271" s="7"/>
      <c r="H271" s="7"/>
      <c r="I271" s="224"/>
      <c r="J271" s="7"/>
      <c r="K271" s="7"/>
      <c r="L271" s="7"/>
      <c r="M271" s="224"/>
      <c r="N271" s="7"/>
      <c r="O271" s="224"/>
      <c r="P271" s="7"/>
      <c r="Q271" s="224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3.55" customHeight="1">
      <c r="A272" s="7"/>
      <c r="B272" s="7"/>
      <c r="C272" s="7"/>
      <c r="D272" s="7"/>
      <c r="E272" s="7"/>
      <c r="F272" s="7"/>
      <c r="G272" s="7"/>
      <c r="H272" s="7"/>
      <c r="I272" s="224"/>
      <c r="J272" s="7"/>
      <c r="K272" s="7"/>
      <c r="L272" s="7"/>
      <c r="M272" s="224"/>
      <c r="N272" s="7"/>
      <c r="O272" s="224"/>
      <c r="P272" s="7"/>
      <c r="Q272" s="224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3.55" customHeight="1">
      <c r="A273" s="7"/>
      <c r="B273" s="7"/>
      <c r="C273" s="7"/>
      <c r="D273" s="7"/>
      <c r="E273" s="7"/>
      <c r="F273" s="7"/>
      <c r="G273" s="7"/>
      <c r="H273" s="7"/>
      <c r="I273" s="224"/>
      <c r="J273" s="7"/>
      <c r="K273" s="7"/>
      <c r="L273" s="7"/>
      <c r="M273" s="224"/>
      <c r="N273" s="7"/>
      <c r="O273" s="224"/>
      <c r="P273" s="7"/>
      <c r="Q273" s="224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3.5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3.55" customHeight="1">
      <c r="A275" s="7"/>
      <c r="B275" s="7"/>
      <c r="C275" s="7"/>
      <c r="D275" s="7"/>
      <c r="E275" s="7"/>
      <c r="F275" s="7"/>
      <c r="G275" s="233"/>
      <c r="H275" s="7"/>
      <c r="I275" s="233"/>
      <c r="J275" s="7"/>
      <c r="K275" s="233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3.55" customHeight="1">
      <c r="A276" s="7"/>
      <c r="B276" s="7"/>
      <c r="C276" s="7"/>
      <c r="D276" s="7"/>
      <c r="E276" s="7"/>
      <c r="F276" s="7"/>
      <c r="G276" s="79"/>
      <c r="H276" s="7"/>
      <c r="I276" s="79"/>
      <c r="J276" s="7"/>
      <c r="K276" s="7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3.55" customHeight="1">
      <c r="A277" s="7"/>
      <c r="B277" s="7"/>
      <c r="C277" s="7"/>
      <c r="D277" s="7"/>
      <c r="E277" s="7"/>
      <c r="F277" s="7"/>
      <c r="G277" s="234"/>
      <c r="H277" s="7"/>
      <c r="I277" s="234"/>
      <c r="J277" s="7"/>
      <c r="K277" s="234"/>
      <c r="L277" s="7"/>
      <c r="M277" s="224"/>
      <c r="N277" s="7"/>
      <c r="O277" s="224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3.55" customHeight="1">
      <c r="A278" s="7"/>
      <c r="B278" s="7"/>
      <c r="C278" s="7"/>
      <c r="D278" s="7"/>
      <c r="E278" s="7"/>
      <c r="F278" s="7"/>
      <c r="G278" s="7"/>
      <c r="H278" s="7"/>
      <c r="I278" s="233"/>
      <c r="J278" s="7"/>
      <c r="K278" s="7"/>
      <c r="L278" s="7"/>
      <c r="M278" s="233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3.55" customHeight="1">
      <c r="A279" s="7"/>
      <c r="B279" s="7"/>
      <c r="C279" s="7"/>
      <c r="D279" s="7"/>
      <c r="E279" s="7"/>
      <c r="F279" s="7"/>
      <c r="G279" s="7"/>
      <c r="H279" s="7"/>
      <c r="I279" s="79"/>
      <c r="J279" s="7"/>
      <c r="K279" s="7"/>
      <c r="L279" s="7"/>
      <c r="M279" s="7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3.55" customHeight="1">
      <c r="A280" s="7"/>
      <c r="B280" s="7"/>
      <c r="C280" s="7"/>
      <c r="D280" s="7"/>
      <c r="E280" s="7"/>
      <c r="F280" s="7"/>
      <c r="G280" s="7"/>
      <c r="H280" s="7"/>
      <c r="I280" s="224"/>
      <c r="J280" s="7"/>
      <c r="K280" s="7"/>
      <c r="L280" s="7"/>
      <c r="M280" s="234"/>
      <c r="N280" s="7"/>
      <c r="O280" s="7"/>
      <c r="P280" s="7"/>
      <c r="Q280" s="224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3.55" customHeight="1">
      <c r="A281" s="7"/>
      <c r="B281" s="7"/>
      <c r="C281" s="7"/>
      <c r="D281" s="7"/>
      <c r="E281" s="7"/>
      <c r="F281" s="7"/>
      <c r="G281" s="7"/>
      <c r="H281" s="7"/>
      <c r="I281" s="224"/>
      <c r="J281" s="7"/>
      <c r="K281" s="7"/>
      <c r="L281" s="7"/>
      <c r="M281" s="234"/>
      <c r="N281" s="7"/>
      <c r="O281" s="7"/>
      <c r="P281" s="7"/>
      <c r="Q281" s="224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3.55" customHeight="1">
      <c r="A282" s="7"/>
      <c r="B282" s="7"/>
      <c r="C282" s="7"/>
      <c r="D282" s="7"/>
      <c r="E282" s="7"/>
      <c r="F282" s="7"/>
      <c r="G282" s="7"/>
      <c r="H282" s="7"/>
      <c r="I282" s="224"/>
      <c r="J282" s="7"/>
      <c r="K282" s="7"/>
      <c r="L282" s="7"/>
      <c r="M282" s="234"/>
      <c r="N282" s="7"/>
      <c r="O282" s="7"/>
      <c r="P282" s="7"/>
      <c r="Q282" s="224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3.5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3.55" customHeight="1">
      <c r="A284" s="7"/>
      <c r="B284" s="7"/>
      <c r="C284" s="7"/>
      <c r="D284" s="7"/>
      <c r="E284" s="7"/>
      <c r="F284" s="7"/>
      <c r="G284" s="233"/>
      <c r="H284" s="7"/>
      <c r="I284" s="233"/>
      <c r="J284" s="7"/>
      <c r="K284" s="233"/>
      <c r="L284" s="7"/>
      <c r="M284" s="233"/>
      <c r="N284" s="7"/>
      <c r="O284" s="233"/>
      <c r="P284" s="7"/>
      <c r="Q284" s="233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3.55" customHeight="1">
      <c r="A285" s="7"/>
      <c r="B285" s="79"/>
      <c r="C285" s="79"/>
      <c r="D285" s="79"/>
      <c r="E285" s="7"/>
      <c r="F285" s="7"/>
      <c r="G285" s="79"/>
      <c r="H285" s="7"/>
      <c r="I285" s="79"/>
      <c r="J285" s="7"/>
      <c r="K285" s="79"/>
      <c r="L285" s="7"/>
      <c r="M285" s="79"/>
      <c r="N285" s="7"/>
      <c r="O285" s="79"/>
      <c r="P285" s="7"/>
      <c r="Q285" s="79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3.55" customHeight="1">
      <c r="A286" s="7"/>
      <c r="B286" s="79"/>
      <c r="C286" s="79"/>
      <c r="D286" s="79"/>
      <c r="E286" s="7"/>
      <c r="F286" s="7"/>
      <c r="G286" s="234"/>
      <c r="H286" s="7"/>
      <c r="I286" s="234"/>
      <c r="J286" s="7"/>
      <c r="K286" s="234"/>
      <c r="L286" s="7"/>
      <c r="M286" s="234"/>
      <c r="N286" s="7"/>
      <c r="O286" s="234"/>
      <c r="P286" s="7"/>
      <c r="Q286" s="233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3.55" customHeight="1">
      <c r="A287" s="7"/>
      <c r="B287" s="7"/>
      <c r="C287" s="7"/>
      <c r="D287" s="7"/>
      <c r="E287" s="7"/>
      <c r="F287" s="7"/>
      <c r="G287" s="7"/>
      <c r="H287" s="7"/>
      <c r="I287" s="233"/>
      <c r="J287" s="7"/>
      <c r="K287" s="7"/>
      <c r="L287" s="7"/>
      <c r="M287" s="233"/>
      <c r="N287" s="7"/>
      <c r="O287" s="233"/>
      <c r="P287" s="7"/>
      <c r="Q287" s="233"/>
      <c r="R287" s="7"/>
      <c r="S287" s="233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3.55" customHeight="1">
      <c r="A288" s="7"/>
      <c r="B288" s="7"/>
      <c r="C288" s="7"/>
      <c r="D288" s="7"/>
      <c r="E288" s="7"/>
      <c r="F288" s="7"/>
      <c r="G288" s="7"/>
      <c r="H288" s="7"/>
      <c r="I288" s="79"/>
      <c r="J288" s="7"/>
      <c r="K288" s="7"/>
      <c r="L288" s="7"/>
      <c r="M288" s="79"/>
      <c r="N288" s="7"/>
      <c r="O288" s="79"/>
      <c r="P288" s="7"/>
      <c r="Q288" s="79"/>
      <c r="R288" s="7"/>
      <c r="S288" s="79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3.55" customHeight="1">
      <c r="A289" s="7"/>
      <c r="B289" s="7"/>
      <c r="C289" s="7"/>
      <c r="D289" s="7"/>
      <c r="E289" s="7"/>
      <c r="F289" s="7"/>
      <c r="G289" s="7"/>
      <c r="H289" s="7"/>
      <c r="I289" s="234"/>
      <c r="J289" s="7"/>
      <c r="K289" s="7"/>
      <c r="L289" s="7"/>
      <c r="M289" s="234"/>
      <c r="N289" s="7"/>
      <c r="O289" s="234"/>
      <c r="P289" s="7"/>
      <c r="Q289" s="234"/>
      <c r="R289" s="7"/>
      <c r="S289" s="234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3.5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3.55" customHeight="1">
      <c r="A291" s="7"/>
      <c r="B291" s="7"/>
      <c r="C291" s="7"/>
      <c r="D291" s="7"/>
      <c r="E291" s="7"/>
      <c r="F291" s="7"/>
      <c r="G291" s="233"/>
      <c r="H291" s="7"/>
      <c r="I291" s="233"/>
      <c r="J291" s="7"/>
      <c r="K291" s="233"/>
      <c r="L291" s="7"/>
      <c r="M291" s="233"/>
      <c r="N291" s="7"/>
      <c r="O291" s="233"/>
      <c r="P291" s="7"/>
      <c r="Q291" s="233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3.55" customHeight="1">
      <c r="A292" s="7"/>
      <c r="B292" s="7"/>
      <c r="C292" s="7"/>
      <c r="D292" s="7"/>
      <c r="E292" s="7"/>
      <c r="F292" s="7"/>
      <c r="G292" s="79"/>
      <c r="H292" s="7"/>
      <c r="I292" s="79"/>
      <c r="J292" s="7"/>
      <c r="K292" s="79"/>
      <c r="L292" s="7"/>
      <c r="M292" s="79"/>
      <c r="N292" s="7"/>
      <c r="O292" s="79"/>
      <c r="P292" s="7"/>
      <c r="Q292" s="79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3.55" customHeight="1">
      <c r="A293" s="7"/>
      <c r="B293" s="7"/>
      <c r="C293" s="7"/>
      <c r="D293" s="7"/>
      <c r="E293" s="7"/>
      <c r="F293" s="7"/>
      <c r="G293" s="234"/>
      <c r="H293" s="7"/>
      <c r="I293" s="234"/>
      <c r="J293" s="7"/>
      <c r="K293" s="234"/>
      <c r="L293" s="7"/>
      <c r="M293" s="234"/>
      <c r="N293" s="7"/>
      <c r="O293" s="234"/>
      <c r="P293" s="7"/>
      <c r="Q293" s="233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3.5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233"/>
      <c r="N294" s="7"/>
      <c r="O294" s="233"/>
      <c r="P294" s="7"/>
      <c r="Q294" s="233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3.5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9"/>
      <c r="N295" s="7"/>
      <c r="O295" s="79"/>
      <c r="P295" s="7"/>
      <c r="Q295" s="79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3.55" customHeight="1">
      <c r="A296" s="7"/>
      <c r="B296" s="7"/>
      <c r="C296" s="7"/>
      <c r="D296" s="7"/>
      <c r="E296" s="7"/>
      <c r="F296" s="7"/>
      <c r="G296" s="7"/>
      <c r="H296" s="7"/>
      <c r="I296" s="224"/>
      <c r="J296" s="7"/>
      <c r="K296" s="7"/>
      <c r="L296" s="7"/>
      <c r="M296" s="234"/>
      <c r="N296" s="7"/>
      <c r="O296" s="234"/>
      <c r="P296" s="7"/>
      <c r="Q296" s="234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3.55" customHeight="1">
      <c r="A297" s="7"/>
      <c r="B297" s="7"/>
      <c r="C297" s="7"/>
      <c r="D297" s="7"/>
      <c r="E297" s="7"/>
      <c r="F297" s="7"/>
      <c r="G297" s="7"/>
      <c r="H297" s="7"/>
      <c r="I297" s="224"/>
      <c r="J297" s="7"/>
      <c r="K297" s="7"/>
      <c r="L297" s="7"/>
      <c r="M297" s="234"/>
      <c r="N297" s="7"/>
      <c r="O297" s="234"/>
      <c r="P297" s="7"/>
      <c r="Q297" s="234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3.5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3.55" customHeight="1">
      <c r="A299" s="7"/>
      <c r="B299" s="7"/>
      <c r="C299" s="7"/>
      <c r="D299" s="7"/>
      <c r="E299" s="7"/>
      <c r="F299" s="7"/>
      <c r="G299" s="233"/>
      <c r="H299" s="7"/>
      <c r="I299" s="233"/>
      <c r="J299" s="7"/>
      <c r="K299" s="233"/>
      <c r="L299" s="7"/>
      <c r="M299" s="233"/>
      <c r="N299" s="7"/>
      <c r="O299" s="233"/>
      <c r="P299" s="7"/>
      <c r="Q299" s="233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3.55" customHeight="1">
      <c r="A300" s="7"/>
      <c r="B300" s="7"/>
      <c r="C300" s="7"/>
      <c r="D300" s="7"/>
      <c r="E300" s="7"/>
      <c r="F300" s="7"/>
      <c r="G300" s="79"/>
      <c r="H300" s="7"/>
      <c r="I300" s="79"/>
      <c r="J300" s="7"/>
      <c r="K300" s="79"/>
      <c r="L300" s="7"/>
      <c r="M300" s="79"/>
      <c r="N300" s="7"/>
      <c r="O300" s="79"/>
      <c r="P300" s="7"/>
      <c r="Q300" s="79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3.55" customHeight="1">
      <c r="A301" s="7"/>
      <c r="B301" s="7"/>
      <c r="C301" s="7"/>
      <c r="D301" s="7"/>
      <c r="E301" s="7"/>
      <c r="F301" s="7"/>
      <c r="G301" s="234"/>
      <c r="H301" s="7"/>
      <c r="I301" s="234"/>
      <c r="J301" s="7"/>
      <c r="K301" s="234"/>
      <c r="L301" s="7"/>
      <c r="M301" s="234"/>
      <c r="N301" s="7"/>
      <c r="O301" s="234"/>
      <c r="P301" s="7"/>
      <c r="Q301" s="233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3.5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233"/>
      <c r="N302" s="7"/>
      <c r="O302" s="233"/>
      <c r="P302" s="7"/>
      <c r="Q302" s="233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3.5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9"/>
      <c r="N303" s="7"/>
      <c r="O303" s="79"/>
      <c r="P303" s="7"/>
      <c r="Q303" s="79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3.55" customHeight="1">
      <c r="A304" s="7"/>
      <c r="B304" s="7"/>
      <c r="C304" s="7"/>
      <c r="D304" s="7"/>
      <c r="E304" s="7"/>
      <c r="F304" s="7"/>
      <c r="G304" s="7"/>
      <c r="H304" s="7"/>
      <c r="I304" s="224"/>
      <c r="J304" s="7"/>
      <c r="K304" s="7"/>
      <c r="L304" s="7"/>
      <c r="M304" s="234"/>
      <c r="N304" s="7"/>
      <c r="O304" s="234"/>
      <c r="P304" s="7"/>
      <c r="Q304" s="234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3.5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3.55" customHeight="1">
      <c r="A306" s="7"/>
      <c r="B306" s="7"/>
      <c r="C306" s="7"/>
      <c r="D306" s="7"/>
      <c r="E306" s="7"/>
      <c r="F306" s="7"/>
      <c r="G306" s="233"/>
      <c r="H306" s="7"/>
      <c r="I306" s="233"/>
      <c r="J306" s="7"/>
      <c r="K306" s="233"/>
      <c r="L306" s="7"/>
      <c r="M306" s="233"/>
      <c r="N306" s="7"/>
      <c r="O306" s="233"/>
      <c r="P306" s="7"/>
      <c r="Q306" s="233"/>
      <c r="R306" s="7"/>
      <c r="S306" s="233"/>
      <c r="T306" s="7"/>
      <c r="U306" s="233"/>
      <c r="V306" s="7"/>
      <c r="W306" s="233"/>
      <c r="X306" s="7"/>
      <c r="Y306" s="7"/>
      <c r="Z306" s="7"/>
      <c r="AA306" s="7"/>
      <c r="AB306" s="7"/>
      <c r="AC306" s="7"/>
      <c r="AD306" s="7"/>
      <c r="AE306" s="7"/>
      <c r="AF306" s="7"/>
    </row>
    <row r="307" ht="13.55" customHeight="1">
      <c r="A307" s="7"/>
      <c r="B307" s="7"/>
      <c r="C307" s="7"/>
      <c r="D307" s="7"/>
      <c r="E307" s="7"/>
      <c r="F307" s="7"/>
      <c r="G307" s="79"/>
      <c r="H307" s="7"/>
      <c r="I307" s="79"/>
      <c r="J307" s="7"/>
      <c r="K307" s="79"/>
      <c r="L307" s="7"/>
      <c r="M307" s="79"/>
      <c r="N307" s="7"/>
      <c r="O307" s="79"/>
      <c r="P307" s="7"/>
      <c r="Q307" s="79"/>
      <c r="R307" s="7"/>
      <c r="S307" s="79"/>
      <c r="T307" s="7"/>
      <c r="U307" s="79"/>
      <c r="V307" s="7"/>
      <c r="W307" s="79"/>
      <c r="X307" s="7"/>
      <c r="Y307" s="7"/>
      <c r="Z307" s="7"/>
      <c r="AA307" s="7"/>
      <c r="AB307" s="7"/>
      <c r="AC307" s="7"/>
      <c r="AD307" s="7"/>
      <c r="AE307" s="7"/>
      <c r="AF307" s="7"/>
    </row>
    <row r="308" ht="13.55" customHeight="1">
      <c r="A308" s="7"/>
      <c r="B308" s="7"/>
      <c r="C308" s="7"/>
      <c r="D308" s="7"/>
      <c r="E308" s="7"/>
      <c r="F308" s="7"/>
      <c r="G308" s="234"/>
      <c r="H308" s="7"/>
      <c r="I308" s="234"/>
      <c r="J308" s="7"/>
      <c r="K308" s="234"/>
      <c r="L308" s="7"/>
      <c r="M308" s="234"/>
      <c r="N308" s="7"/>
      <c r="O308" s="234"/>
      <c r="P308" s="7"/>
      <c r="Q308" s="233"/>
      <c r="R308" s="7"/>
      <c r="S308" s="234"/>
      <c r="T308" s="7"/>
      <c r="U308" s="234"/>
      <c r="V308" s="7"/>
      <c r="W308" s="234"/>
      <c r="X308" s="7"/>
      <c r="Y308" s="7"/>
      <c r="Z308" s="7"/>
      <c r="AA308" s="7"/>
      <c r="AB308" s="7"/>
      <c r="AC308" s="7"/>
      <c r="AD308" s="7"/>
      <c r="AE308" s="7"/>
      <c r="AF308" s="7"/>
    </row>
    <row r="309" ht="13.5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233"/>
      <c r="N309" s="7"/>
      <c r="O309" s="233"/>
      <c r="P309" s="7"/>
      <c r="Q309" s="233"/>
      <c r="R309" s="7"/>
      <c r="S309" s="233"/>
      <c r="T309" s="7"/>
      <c r="U309" s="233"/>
      <c r="V309" s="7"/>
      <c r="W309" s="233"/>
      <c r="X309" s="7"/>
      <c r="Y309" s="7"/>
      <c r="Z309" s="7"/>
      <c r="AA309" s="7"/>
      <c r="AB309" s="7"/>
      <c r="AC309" s="7"/>
      <c r="AD309" s="7"/>
      <c r="AE309" s="7"/>
      <c r="AF309" s="7"/>
    </row>
    <row r="310" ht="13.5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9"/>
      <c r="N310" s="7"/>
      <c r="O310" s="79"/>
      <c r="P310" s="7"/>
      <c r="Q310" s="79"/>
      <c r="R310" s="7"/>
      <c r="S310" s="79"/>
      <c r="T310" s="7"/>
      <c r="U310" s="79"/>
      <c r="V310" s="7"/>
      <c r="W310" s="79"/>
      <c r="X310" s="7"/>
      <c r="Y310" s="7"/>
      <c r="Z310" s="7"/>
      <c r="AA310" s="7"/>
      <c r="AB310" s="7"/>
      <c r="AC310" s="7"/>
      <c r="AD310" s="7"/>
      <c r="AE310" s="7"/>
      <c r="AF310" s="7"/>
    </row>
    <row r="311" ht="13.55" customHeight="1">
      <c r="A311" s="7"/>
      <c r="B311" s="7"/>
      <c r="C311" s="7"/>
      <c r="D311" s="7"/>
      <c r="E311" s="7"/>
      <c r="F311" s="7"/>
      <c r="G311" s="7"/>
      <c r="H311" s="7"/>
      <c r="I311" s="224"/>
      <c r="J311" s="7"/>
      <c r="K311" s="7"/>
      <c r="L311" s="7"/>
      <c r="M311" s="234"/>
      <c r="N311" s="7"/>
      <c r="O311" s="234"/>
      <c r="P311" s="7"/>
      <c r="Q311" s="234"/>
      <c r="R311" s="7"/>
      <c r="S311" s="234"/>
      <c r="T311" s="7"/>
      <c r="U311" s="234"/>
      <c r="V311" s="7"/>
      <c r="W311" s="234"/>
      <c r="X311" s="7"/>
      <c r="Y311" s="7"/>
      <c r="Z311" s="7"/>
      <c r="AA311" s="7"/>
      <c r="AB311" s="7"/>
      <c r="AC311" s="7"/>
      <c r="AD311" s="7"/>
      <c r="AE311" s="7"/>
      <c r="AF311" s="7"/>
    </row>
    <row r="312" ht="13.5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3.55" customHeight="1">
      <c r="A313" s="7"/>
      <c r="B313" s="7"/>
      <c r="C313" s="7"/>
      <c r="D313" s="7"/>
      <c r="E313" s="7"/>
      <c r="F313" s="7"/>
      <c r="G313" s="233"/>
      <c r="H313" s="7"/>
      <c r="I313" s="233"/>
      <c r="J313" s="7"/>
      <c r="K313" s="233"/>
      <c r="L313" s="7"/>
      <c r="M313" s="233"/>
      <c r="N313" s="7"/>
      <c r="O313" s="233"/>
      <c r="P313" s="7"/>
      <c r="Q313" s="233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3.55" customHeight="1">
      <c r="A314" s="7"/>
      <c r="B314" s="7"/>
      <c r="C314" s="7"/>
      <c r="D314" s="7"/>
      <c r="E314" s="7"/>
      <c r="F314" s="7"/>
      <c r="G314" s="79"/>
      <c r="H314" s="7"/>
      <c r="I314" s="79"/>
      <c r="J314" s="7"/>
      <c r="K314" s="79"/>
      <c r="L314" s="7"/>
      <c r="M314" s="79"/>
      <c r="N314" s="7"/>
      <c r="O314" s="79"/>
      <c r="P314" s="7"/>
      <c r="Q314" s="79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3.55" customHeight="1">
      <c r="A315" s="7"/>
      <c r="B315" s="7"/>
      <c r="C315" s="7"/>
      <c r="D315" s="7"/>
      <c r="E315" s="7"/>
      <c r="F315" s="7"/>
      <c r="G315" s="234"/>
      <c r="H315" s="7"/>
      <c r="I315" s="234"/>
      <c r="J315" s="7"/>
      <c r="K315" s="234"/>
      <c r="L315" s="7"/>
      <c r="M315" s="234"/>
      <c r="N315" s="7"/>
      <c r="O315" s="234"/>
      <c r="P315" s="7"/>
      <c r="Q315" s="233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3.5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3.55" customHeight="1">
      <c r="A317" s="7"/>
      <c r="B317" s="7"/>
      <c r="C317" s="7"/>
      <c r="D317" s="7"/>
      <c r="E317" s="7"/>
      <c r="F317" s="7"/>
      <c r="G317" s="7"/>
      <c r="H317" s="7"/>
      <c r="I317" s="7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3.55" customHeight="1">
      <c r="A318" s="7"/>
      <c r="B318" s="7"/>
      <c r="C318" s="7"/>
      <c r="D318" s="7"/>
      <c r="E318" s="7"/>
      <c r="F318" s="7"/>
      <c r="G318" s="7"/>
      <c r="H318" s="7"/>
      <c r="I318" s="224"/>
      <c r="J318" s="7"/>
      <c r="K318" s="7"/>
      <c r="L318" s="7"/>
      <c r="M318" s="224"/>
      <c r="N318" s="7"/>
      <c r="O318" s="224"/>
      <c r="P318" s="7"/>
      <c r="Q318" s="224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3.5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3.55" customHeight="1">
      <c r="A320" s="7"/>
      <c r="B320" s="7"/>
      <c r="C320" s="7"/>
      <c r="D320" s="7"/>
      <c r="E320" s="7"/>
      <c r="F320" s="7"/>
      <c r="G320" s="233"/>
      <c r="H320" s="7"/>
      <c r="I320" s="233"/>
      <c r="J320" s="7"/>
      <c r="K320" s="233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3.55" customHeight="1">
      <c r="A321" s="7"/>
      <c r="B321" s="7"/>
      <c r="C321" s="7"/>
      <c r="D321" s="7"/>
      <c r="E321" s="7"/>
      <c r="F321" s="7"/>
      <c r="G321" s="79"/>
      <c r="H321" s="7"/>
      <c r="I321" s="79"/>
      <c r="J321" s="7"/>
      <c r="K321" s="7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3.55" customHeight="1">
      <c r="A322" s="7"/>
      <c r="B322" s="7"/>
      <c r="C322" s="7"/>
      <c r="D322" s="7"/>
      <c r="E322" s="7"/>
      <c r="F322" s="7"/>
      <c r="G322" s="234"/>
      <c r="H322" s="7"/>
      <c r="I322" s="234"/>
      <c r="J322" s="7"/>
      <c r="K322" s="234"/>
      <c r="L322" s="7"/>
      <c r="M322" s="224"/>
      <c r="N322" s="7"/>
      <c r="O322" s="224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3.5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3.55" customHeight="1">
      <c r="A324" s="7"/>
      <c r="B324" s="7"/>
      <c r="C324" s="7"/>
      <c r="D324" s="7"/>
      <c r="E324" s="7"/>
      <c r="F324" s="7"/>
      <c r="G324" s="7"/>
      <c r="H324" s="7"/>
      <c r="I324" s="7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3.55" customHeight="1">
      <c r="A325" s="7"/>
      <c r="B325" s="7"/>
      <c r="C325" s="7"/>
      <c r="D325" s="7"/>
      <c r="E325" s="7"/>
      <c r="F325" s="7"/>
      <c r="G325" s="7"/>
      <c r="H325" s="7"/>
      <c r="I325" s="224"/>
      <c r="J325" s="7"/>
      <c r="K325" s="7"/>
      <c r="L325" s="7"/>
      <c r="M325" s="224"/>
      <c r="N325" s="7"/>
      <c r="O325" s="224"/>
      <c r="P325" s="7"/>
      <c r="Q325" s="224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3.55" customHeight="1">
      <c r="A326" s="7"/>
      <c r="B326" s="7"/>
      <c r="C326" s="7"/>
      <c r="D326" s="7"/>
      <c r="E326" s="7"/>
      <c r="F326" s="7"/>
      <c r="G326" s="7"/>
      <c r="H326" s="7"/>
      <c r="I326" s="224"/>
      <c r="J326" s="7"/>
      <c r="K326" s="7"/>
      <c r="L326" s="7"/>
      <c r="M326" s="224"/>
      <c r="N326" s="7"/>
      <c r="O326" s="224"/>
      <c r="P326" s="7"/>
      <c r="Q326" s="224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3.55" customHeight="1">
      <c r="A327" s="7"/>
      <c r="B327" s="7"/>
      <c r="C327" s="7"/>
      <c r="D327" s="7"/>
      <c r="E327" s="7"/>
      <c r="F327" s="7"/>
      <c r="G327" s="7"/>
      <c r="H327" s="7"/>
      <c r="I327" s="224"/>
      <c r="J327" s="7"/>
      <c r="K327" s="7"/>
      <c r="L327" s="7"/>
      <c r="M327" s="224"/>
      <c r="N327" s="7"/>
      <c r="O327" s="224"/>
      <c r="P327" s="7"/>
      <c r="Q327" s="224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3.55" customHeight="1">
      <c r="A328" s="7"/>
      <c r="B328" s="7"/>
      <c r="C328" s="7"/>
      <c r="D328" s="7"/>
      <c r="E328" s="7"/>
      <c r="F328" s="7"/>
      <c r="G328" s="7"/>
      <c r="H328" s="7"/>
      <c r="I328" s="224"/>
      <c r="J328" s="7"/>
      <c r="K328" s="7"/>
      <c r="L328" s="7"/>
      <c r="M328" s="224"/>
      <c r="N328" s="7"/>
      <c r="O328" s="224"/>
      <c r="P328" s="7"/>
      <c r="Q328" s="224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3.5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3.55" customHeight="1">
      <c r="A330" s="7"/>
      <c r="B330" s="7"/>
      <c r="C330" s="7"/>
      <c r="D330" s="7"/>
      <c r="E330" s="7"/>
      <c r="F330" s="7"/>
      <c r="G330" s="233"/>
      <c r="H330" s="7"/>
      <c r="I330" s="233"/>
      <c r="J330" s="7"/>
      <c r="K330" s="233"/>
      <c r="L330" s="7"/>
      <c r="M330" s="233"/>
      <c r="N330" s="7"/>
      <c r="O330" s="233"/>
      <c r="P330" s="7"/>
      <c r="Q330" s="233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3.55" customHeight="1">
      <c r="A331" s="7"/>
      <c r="B331" s="7"/>
      <c r="C331" s="7"/>
      <c r="D331" s="7"/>
      <c r="E331" s="7"/>
      <c r="F331" s="7"/>
      <c r="G331" s="79"/>
      <c r="H331" s="7"/>
      <c r="I331" s="79"/>
      <c r="J331" s="7"/>
      <c r="K331" s="79"/>
      <c r="L331" s="7"/>
      <c r="M331" s="79"/>
      <c r="N331" s="7"/>
      <c r="O331" s="79"/>
      <c r="P331" s="7"/>
      <c r="Q331" s="79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3.55" customHeight="1">
      <c r="A332" s="7"/>
      <c r="B332" s="7"/>
      <c r="C332" s="7"/>
      <c r="D332" s="7"/>
      <c r="E332" s="7"/>
      <c r="F332" s="7"/>
      <c r="G332" s="234"/>
      <c r="H332" s="7"/>
      <c r="I332" s="234"/>
      <c r="J332" s="7"/>
      <c r="K332" s="234"/>
      <c r="L332" s="7"/>
      <c r="M332" s="234"/>
      <c r="N332" s="7"/>
      <c r="O332" s="234"/>
      <c r="P332" s="7"/>
      <c r="Q332" s="233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3.5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3.5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3.55" customHeight="1">
      <c r="A335" s="7"/>
      <c r="B335" s="7"/>
      <c r="C335" s="7"/>
      <c r="D335" s="7"/>
      <c r="E335" s="7"/>
      <c r="F335" s="7"/>
      <c r="G335" s="7"/>
      <c r="H335" s="7"/>
      <c r="I335" s="224"/>
      <c r="J335" s="7"/>
      <c r="K335" s="7"/>
      <c r="L335" s="7"/>
      <c r="M335" s="224"/>
      <c r="N335" s="7"/>
      <c r="O335" s="224"/>
      <c r="P335" s="7"/>
      <c r="Q335" s="224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3.55" customHeight="1">
      <c r="A336" s="7"/>
      <c r="B336" s="7"/>
      <c r="C336" s="7"/>
      <c r="D336" s="7"/>
      <c r="E336" s="7"/>
      <c r="F336" s="7"/>
      <c r="G336" s="7"/>
      <c r="H336" s="7"/>
      <c r="I336" s="224"/>
      <c r="J336" s="7"/>
      <c r="K336" s="7"/>
      <c r="L336" s="7"/>
      <c r="M336" s="224"/>
      <c r="N336" s="7"/>
      <c r="O336" s="224"/>
      <c r="P336" s="7"/>
      <c r="Q336" s="224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3.55" customHeight="1">
      <c r="A337" s="7"/>
      <c r="B337" s="7"/>
      <c r="C337" s="7"/>
      <c r="D337" s="7"/>
      <c r="E337" s="7"/>
      <c r="F337" s="7"/>
      <c r="G337" s="233"/>
      <c r="H337" s="7"/>
      <c r="I337" s="233"/>
      <c r="J337" s="7"/>
      <c r="K337" s="233"/>
      <c r="L337" s="7"/>
      <c r="M337" s="233"/>
      <c r="N337" s="7"/>
      <c r="O337" s="233"/>
      <c r="P337" s="7"/>
      <c r="Q337" s="233"/>
      <c r="R337" s="7"/>
      <c r="S337" s="233"/>
      <c r="T337" s="7"/>
      <c r="U337" s="233"/>
      <c r="V337" s="7"/>
      <c r="W337" s="233"/>
      <c r="X337" s="7"/>
      <c r="Y337" s="7"/>
      <c r="Z337" s="7"/>
      <c r="AA337" s="7"/>
      <c r="AB337" s="7"/>
      <c r="AC337" s="7"/>
      <c r="AD337" s="7"/>
      <c r="AE337" s="7"/>
      <c r="AF337" s="7"/>
    </row>
    <row r="338" ht="13.55" customHeight="1">
      <c r="A338" s="7"/>
      <c r="B338" s="7"/>
      <c r="C338" s="7"/>
      <c r="D338" s="7"/>
      <c r="E338" s="7"/>
      <c r="F338" s="7"/>
      <c r="G338" s="79"/>
      <c r="H338" s="7"/>
      <c r="I338" s="79"/>
      <c r="J338" s="7"/>
      <c r="K338" s="79"/>
      <c r="L338" s="7"/>
      <c r="M338" s="79"/>
      <c r="N338" s="7"/>
      <c r="O338" s="79"/>
      <c r="P338" s="7"/>
      <c r="Q338" s="79"/>
      <c r="R338" s="7"/>
      <c r="S338" s="79"/>
      <c r="T338" s="7"/>
      <c r="U338" s="79"/>
      <c r="V338" s="7"/>
      <c r="W338" s="79"/>
      <c r="X338" s="7"/>
      <c r="Y338" s="7"/>
      <c r="Z338" s="7"/>
      <c r="AA338" s="7"/>
      <c r="AB338" s="7"/>
      <c r="AC338" s="7"/>
      <c r="AD338" s="7"/>
      <c r="AE338" s="7"/>
      <c r="AF338" s="7"/>
    </row>
    <row r="339" ht="13.55" customHeight="1">
      <c r="A339" s="7"/>
      <c r="B339" s="7"/>
      <c r="C339" s="7"/>
      <c r="D339" s="7"/>
      <c r="E339" s="7"/>
      <c r="F339" s="7"/>
      <c r="G339" s="234"/>
      <c r="H339" s="7"/>
      <c r="I339" s="234"/>
      <c r="J339" s="7"/>
      <c r="K339" s="234"/>
      <c r="L339" s="7"/>
      <c r="M339" s="234"/>
      <c r="N339" s="7"/>
      <c r="O339" s="234"/>
      <c r="P339" s="7"/>
      <c r="Q339" s="233"/>
      <c r="R339" s="7"/>
      <c r="S339" s="234"/>
      <c r="T339" s="7"/>
      <c r="U339" s="234"/>
      <c r="V339" s="7"/>
      <c r="W339" s="234"/>
      <c r="X339" s="7"/>
      <c r="Y339" s="7"/>
      <c r="Z339" s="7"/>
      <c r="AA339" s="7"/>
      <c r="AB339" s="7"/>
      <c r="AC339" s="7"/>
      <c r="AD339" s="7"/>
      <c r="AE339" s="7"/>
      <c r="AF339" s="7"/>
    </row>
    <row r="340" ht="13.5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3.55" customHeight="1">
      <c r="A341" s="7"/>
      <c r="B341" s="7"/>
      <c r="C341" s="7"/>
      <c r="D341" s="7"/>
      <c r="E341" s="7"/>
      <c r="F341" s="7"/>
      <c r="G341" s="7"/>
      <c r="H341" s="7"/>
      <c r="I341" s="7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3.55" customHeight="1">
      <c r="A342" s="7"/>
      <c r="B342" s="7"/>
      <c r="C342" s="7"/>
      <c r="D342" s="7"/>
      <c r="E342" s="7"/>
      <c r="F342" s="7"/>
      <c r="G342" s="7"/>
      <c r="H342" s="7"/>
      <c r="I342" s="224"/>
      <c r="J342" s="7"/>
      <c r="K342" s="7"/>
      <c r="L342" s="7"/>
      <c r="M342" s="224"/>
      <c r="N342" s="7"/>
      <c r="O342" s="224"/>
      <c r="P342" s="7"/>
      <c r="Q342" s="224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3.5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3.55" customHeight="1">
      <c r="A344" s="7"/>
      <c r="B344" s="7"/>
      <c r="C344" s="7"/>
      <c r="D344" s="7"/>
      <c r="E344" s="7"/>
      <c r="F344" s="7"/>
      <c r="G344" s="233"/>
      <c r="H344" s="7"/>
      <c r="I344" s="233"/>
      <c r="J344" s="7"/>
      <c r="K344" s="233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3.55" customHeight="1">
      <c r="A345" s="7"/>
      <c r="B345" s="79"/>
      <c r="C345" s="79"/>
      <c r="D345" s="79"/>
      <c r="E345" s="7"/>
      <c r="F345" s="7"/>
      <c r="G345" s="79"/>
      <c r="H345" s="7"/>
      <c r="I345" s="7"/>
      <c r="J345" s="7"/>
      <c r="K345" s="7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3.55" customHeight="1">
      <c r="A346" s="7"/>
      <c r="B346" s="79"/>
      <c r="C346" s="79"/>
      <c r="D346" s="79"/>
      <c r="E346" s="7"/>
      <c r="F346" s="7"/>
      <c r="G346" s="234"/>
      <c r="H346" s="7"/>
      <c r="I346" s="234"/>
      <c r="J346" s="7"/>
      <c r="K346" s="234"/>
      <c r="L346" s="7"/>
      <c r="M346" s="224"/>
      <c r="N346" s="7"/>
      <c r="O346" s="224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3.5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233"/>
      <c r="N347" s="7"/>
      <c r="O347" s="233"/>
      <c r="P347" s="7"/>
      <c r="Q347" s="233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3.5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9"/>
      <c r="N348" s="7"/>
      <c r="O348" s="79"/>
      <c r="P348" s="7"/>
      <c r="Q348" s="236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3.55" customHeight="1">
      <c r="A349" s="7"/>
      <c r="B349" s="7"/>
      <c r="C349" s="7"/>
      <c r="D349" s="7"/>
      <c r="E349" s="7"/>
      <c r="F349" s="7"/>
      <c r="G349" s="7"/>
      <c r="H349" s="7"/>
      <c r="I349" s="224"/>
      <c r="J349" s="7"/>
      <c r="K349" s="7"/>
      <c r="L349" s="7"/>
      <c r="M349" s="234"/>
      <c r="N349" s="7"/>
      <c r="O349" s="234"/>
      <c r="P349" s="7"/>
      <c r="Q349" s="234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3.5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3.55" customHeight="1">
      <c r="A351" s="7"/>
      <c r="B351" s="7"/>
      <c r="C351" s="7"/>
      <c r="D351" s="7"/>
      <c r="E351" s="7"/>
      <c r="F351" s="7"/>
      <c r="G351" s="233"/>
      <c r="H351" s="7"/>
      <c r="I351" s="233"/>
      <c r="J351" s="7"/>
      <c r="K351" s="233"/>
      <c r="L351" s="7"/>
      <c r="M351" s="233"/>
      <c r="N351" s="7"/>
      <c r="O351" s="233"/>
      <c r="P351" s="7"/>
      <c r="Q351" s="233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3.55" customHeight="1">
      <c r="A352" s="7"/>
      <c r="B352" s="7"/>
      <c r="C352" s="7"/>
      <c r="D352" s="7"/>
      <c r="E352" s="7"/>
      <c r="F352" s="7"/>
      <c r="G352" s="79"/>
      <c r="H352" s="7"/>
      <c r="I352" s="79"/>
      <c r="J352" s="7"/>
      <c r="K352" s="79"/>
      <c r="L352" s="7"/>
      <c r="M352" s="79"/>
      <c r="N352" s="7"/>
      <c r="O352" s="79"/>
      <c r="P352" s="7"/>
      <c r="Q352" s="79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3.55" customHeight="1">
      <c r="A353" s="7"/>
      <c r="B353" s="7"/>
      <c r="C353" s="7"/>
      <c r="D353" s="7"/>
      <c r="E353" s="7"/>
      <c r="F353" s="7"/>
      <c r="G353" s="234"/>
      <c r="H353" s="7"/>
      <c r="I353" s="234"/>
      <c r="J353" s="7"/>
      <c r="K353" s="234"/>
      <c r="L353" s="7"/>
      <c r="M353" s="234"/>
      <c r="N353" s="7"/>
      <c r="O353" s="234"/>
      <c r="P353" s="7"/>
      <c r="Q353" s="233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3.5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233"/>
      <c r="P354" s="7"/>
      <c r="Q354" s="233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3.5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9"/>
      <c r="N355" s="7"/>
      <c r="O355" s="79"/>
      <c r="P355" s="7"/>
      <c r="Q355" s="79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3.55" customHeight="1">
      <c r="A356" s="7"/>
      <c r="B356" s="7"/>
      <c r="C356" s="7"/>
      <c r="D356" s="7"/>
      <c r="E356" s="7"/>
      <c r="F356" s="7"/>
      <c r="G356" s="7"/>
      <c r="H356" s="7"/>
      <c r="I356" s="224"/>
      <c r="J356" s="7"/>
      <c r="K356" s="7"/>
      <c r="L356" s="7"/>
      <c r="M356" s="234"/>
      <c r="N356" s="7"/>
      <c r="O356" s="234"/>
      <c r="P356" s="7"/>
      <c r="Q356" s="234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3.55" customHeight="1">
      <c r="A357" s="7"/>
      <c r="B357" s="7"/>
      <c r="C357" s="7"/>
      <c r="D357" s="7"/>
      <c r="E357" s="7"/>
      <c r="F357" s="7"/>
      <c r="G357" s="7"/>
      <c r="H357" s="7"/>
      <c r="I357" s="224"/>
      <c r="J357" s="7"/>
      <c r="K357" s="7"/>
      <c r="L357" s="7"/>
      <c r="M357" s="234"/>
      <c r="N357" s="7"/>
      <c r="O357" s="234"/>
      <c r="P357" s="7"/>
      <c r="Q357" s="234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3.55" customHeight="1">
      <c r="A358" s="7"/>
      <c r="B358" s="7"/>
      <c r="C358" s="7"/>
      <c r="D358" s="7"/>
      <c r="E358" s="7"/>
      <c r="F358" s="7"/>
      <c r="G358" s="7"/>
      <c r="H358" s="7"/>
      <c r="I358" s="224"/>
      <c r="J358" s="7"/>
      <c r="K358" s="7"/>
      <c r="L358" s="7"/>
      <c r="M358" s="234"/>
      <c r="N358" s="7"/>
      <c r="O358" s="234"/>
      <c r="P358" s="7"/>
      <c r="Q358" s="234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3.5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3.55" customHeight="1">
      <c r="A360" s="7"/>
      <c r="B360" s="7"/>
      <c r="C360" s="7"/>
      <c r="D360" s="7"/>
      <c r="E360" s="7"/>
      <c r="F360" s="7"/>
      <c r="G360" s="233"/>
      <c r="H360" s="7"/>
      <c r="I360" s="233"/>
      <c r="J360" s="7"/>
      <c r="K360" s="233"/>
      <c r="L360" s="7"/>
      <c r="M360" s="233"/>
      <c r="N360" s="7"/>
      <c r="O360" s="233"/>
      <c r="P360" s="7"/>
      <c r="Q360" s="233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3.55" customHeight="1">
      <c r="A361" s="7"/>
      <c r="B361" s="7"/>
      <c r="C361" s="7"/>
      <c r="D361" s="7"/>
      <c r="E361" s="7"/>
      <c r="F361" s="7"/>
      <c r="G361" s="7"/>
      <c r="H361" s="7"/>
      <c r="I361" s="79"/>
      <c r="J361" s="7"/>
      <c r="K361" s="79"/>
      <c r="L361" s="7"/>
      <c r="M361" s="79"/>
      <c r="N361" s="7"/>
      <c r="O361" s="79"/>
      <c r="P361" s="7"/>
      <c r="Q361" s="79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3.55" customHeight="1">
      <c r="A362" s="7"/>
      <c r="B362" s="7"/>
      <c r="C362" s="7"/>
      <c r="D362" s="7"/>
      <c r="E362" s="7"/>
      <c r="F362" s="7"/>
      <c r="G362" s="234"/>
      <c r="H362" s="7"/>
      <c r="I362" s="234"/>
      <c r="J362" s="7"/>
      <c r="K362" s="234"/>
      <c r="L362" s="7"/>
      <c r="M362" s="234"/>
      <c r="N362" s="7"/>
      <c r="O362" s="234"/>
      <c r="P362" s="7"/>
      <c r="Q362" s="233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3.5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233"/>
      <c r="N363" s="7"/>
      <c r="O363" s="233"/>
      <c r="P363" s="7"/>
      <c r="Q363" s="233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3.55" customHeight="1">
      <c r="A364" s="7"/>
      <c r="B364" s="7"/>
      <c r="C364" s="7"/>
      <c r="D364" s="7"/>
      <c r="E364" s="7"/>
      <c r="F364" s="7"/>
      <c r="G364" s="7"/>
      <c r="H364" s="7"/>
      <c r="I364" s="79"/>
      <c r="J364" s="7"/>
      <c r="K364" s="7"/>
      <c r="L364" s="7"/>
      <c r="M364" s="79"/>
      <c r="N364" s="7"/>
      <c r="O364" s="79"/>
      <c r="P364" s="7"/>
      <c r="Q364" s="79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3.55" customHeight="1">
      <c r="A365" s="7"/>
      <c r="B365" s="7"/>
      <c r="C365" s="7"/>
      <c r="D365" s="7"/>
      <c r="E365" s="7"/>
      <c r="F365" s="7"/>
      <c r="G365" s="7"/>
      <c r="H365" s="7"/>
      <c r="I365" s="224"/>
      <c r="J365" s="7"/>
      <c r="K365" s="7"/>
      <c r="L365" s="7"/>
      <c r="M365" s="234"/>
      <c r="N365" s="7"/>
      <c r="O365" s="234"/>
      <c r="P365" s="7"/>
      <c r="Q365" s="234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3.5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3.55" customHeight="1">
      <c r="A367" s="7"/>
      <c r="B367" s="7"/>
      <c r="C367" s="7"/>
      <c r="D367" s="7"/>
      <c r="E367" s="7"/>
      <c r="F367" s="7"/>
      <c r="G367" s="233"/>
      <c r="H367" s="7"/>
      <c r="I367" s="233"/>
      <c r="J367" s="7"/>
      <c r="K367" s="233"/>
      <c r="L367" s="7"/>
      <c r="M367" s="233"/>
      <c r="N367" s="7"/>
      <c r="O367" s="233"/>
      <c r="P367" s="7"/>
      <c r="Q367" s="233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3.55" customHeight="1">
      <c r="A368" s="7"/>
      <c r="B368" s="7"/>
      <c r="C368" s="7"/>
      <c r="D368" s="7"/>
      <c r="E368" s="7"/>
      <c r="F368" s="7"/>
      <c r="G368" s="79"/>
      <c r="H368" s="7"/>
      <c r="I368" s="79"/>
      <c r="J368" s="7"/>
      <c r="K368" s="79"/>
      <c r="L368" s="7"/>
      <c r="M368" s="79"/>
      <c r="N368" s="7"/>
      <c r="O368" s="79"/>
      <c r="P368" s="7"/>
      <c r="Q368" s="79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3.55" customHeight="1">
      <c r="A369" s="7"/>
      <c r="B369" s="7"/>
      <c r="C369" s="7"/>
      <c r="D369" s="7"/>
      <c r="E369" s="7"/>
      <c r="F369" s="7"/>
      <c r="G369" s="234"/>
      <c r="H369" s="7"/>
      <c r="I369" s="234"/>
      <c r="J369" s="7"/>
      <c r="K369" s="234"/>
      <c r="L369" s="7"/>
      <c r="M369" s="234"/>
      <c r="N369" s="7"/>
      <c r="O369" s="234"/>
      <c r="P369" s="7"/>
      <c r="Q369" s="233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3.55" customHeight="1">
      <c r="A370" s="7"/>
      <c r="B370" s="7"/>
      <c r="C370" s="7"/>
      <c r="D370" s="7"/>
      <c r="E370" s="7"/>
      <c r="F370" s="7"/>
      <c r="G370" s="7"/>
      <c r="H370" s="7"/>
      <c r="I370" s="233"/>
      <c r="J370" s="7"/>
      <c r="K370" s="7"/>
      <c r="L370" s="7"/>
      <c r="M370" s="7"/>
      <c r="N370" s="7"/>
      <c r="O370" s="233"/>
      <c r="P370" s="7"/>
      <c r="Q370" s="233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3.55" customHeight="1">
      <c r="A371" s="7"/>
      <c r="B371" s="7"/>
      <c r="C371" s="7"/>
      <c r="D371" s="7"/>
      <c r="E371" s="7"/>
      <c r="F371" s="7"/>
      <c r="G371" s="7"/>
      <c r="H371" s="7"/>
      <c r="I371" s="233"/>
      <c r="J371" s="7"/>
      <c r="K371" s="7"/>
      <c r="L371" s="7"/>
      <c r="M371" s="7"/>
      <c r="N371" s="7"/>
      <c r="O371" s="79"/>
      <c r="P371" s="7"/>
      <c r="Q371" s="79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3.55" customHeight="1">
      <c r="A372" s="7"/>
      <c r="B372" s="7"/>
      <c r="C372" s="7"/>
      <c r="D372" s="7"/>
      <c r="E372" s="7"/>
      <c r="F372" s="7"/>
      <c r="G372" s="7"/>
      <c r="H372" s="7"/>
      <c r="I372" s="234"/>
      <c r="J372" s="7"/>
      <c r="K372" s="7"/>
      <c r="L372" s="7"/>
      <c r="M372" s="224"/>
      <c r="N372" s="7"/>
      <c r="O372" s="234"/>
      <c r="P372" s="7"/>
      <c r="Q372" s="234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3.55" customHeight="1">
      <c r="A373" s="7"/>
      <c r="B373" s="7"/>
      <c r="C373" s="7"/>
      <c r="D373" s="7"/>
      <c r="E373" s="7"/>
      <c r="F373" s="7"/>
      <c r="G373" s="7"/>
      <c r="H373" s="7"/>
      <c r="I373" s="224"/>
      <c r="J373" s="7"/>
      <c r="K373" s="7"/>
      <c r="L373" s="7"/>
      <c r="M373" s="224"/>
      <c r="N373" s="7"/>
      <c r="O373" s="224"/>
      <c r="P373" s="7"/>
      <c r="Q373" s="224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3.55" customHeight="1">
      <c r="A374" s="7"/>
      <c r="B374" s="7"/>
      <c r="C374" s="7"/>
      <c r="D374" s="7"/>
      <c r="E374" s="7"/>
      <c r="F374" s="7"/>
      <c r="G374" s="7"/>
      <c r="H374" s="7"/>
      <c r="I374" s="224"/>
      <c r="J374" s="7"/>
      <c r="K374" s="7"/>
      <c r="L374" s="7"/>
      <c r="M374" s="224"/>
      <c r="N374" s="7"/>
      <c r="O374" s="224"/>
      <c r="P374" s="7"/>
      <c r="Q374" s="224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</sheetData>
  <mergeCells count="62">
    <mergeCell ref="A236:A241"/>
    <mergeCell ref="G239:G241"/>
    <mergeCell ref="A215:A220"/>
    <mergeCell ref="K218:K220"/>
    <mergeCell ref="K204:K206"/>
    <mergeCell ref="K225:K227"/>
    <mergeCell ref="A222:A227"/>
    <mergeCell ref="K211:K213"/>
    <mergeCell ref="G232:G234"/>
    <mergeCell ref="A229:A234"/>
    <mergeCell ref="K232:K234"/>
    <mergeCell ref="A208:A213"/>
    <mergeCell ref="A10:A15"/>
    <mergeCell ref="A17:A22"/>
    <mergeCell ref="A24:A29"/>
    <mergeCell ref="A31:A36"/>
    <mergeCell ref="A201:A206"/>
    <mergeCell ref="K48:K50"/>
    <mergeCell ref="K62:K64"/>
    <mergeCell ref="K155:K157"/>
    <mergeCell ref="K176:K178"/>
    <mergeCell ref="K169:K171"/>
    <mergeCell ref="K190:K192"/>
    <mergeCell ref="K162:K164"/>
    <mergeCell ref="K83:K85"/>
    <mergeCell ref="K55:K57"/>
    <mergeCell ref="K69:K71"/>
    <mergeCell ref="K76:K78"/>
    <mergeCell ref="A45:A50"/>
    <mergeCell ref="A52:A57"/>
    <mergeCell ref="A59:A64"/>
    <mergeCell ref="A166:A171"/>
    <mergeCell ref="A1:K1"/>
    <mergeCell ref="A108:K108"/>
    <mergeCell ref="K197:K199"/>
    <mergeCell ref="A110:A115"/>
    <mergeCell ref="A117:A122"/>
    <mergeCell ref="A124:A129"/>
    <mergeCell ref="A94:A99"/>
    <mergeCell ref="A101:A106"/>
    <mergeCell ref="A152:A157"/>
    <mergeCell ref="A131:A136"/>
    <mergeCell ref="K41:K43"/>
    <mergeCell ref="K90:K92"/>
    <mergeCell ref="K6:K8"/>
    <mergeCell ref="A180:A185"/>
    <mergeCell ref="A187:A192"/>
    <mergeCell ref="A173:A178"/>
    <mergeCell ref="K13:K15"/>
    <mergeCell ref="K20:K22"/>
    <mergeCell ref="K27:K29"/>
    <mergeCell ref="A194:A199"/>
    <mergeCell ref="A73:A78"/>
    <mergeCell ref="A38:A43"/>
    <mergeCell ref="K34:K36"/>
    <mergeCell ref="A66:A71"/>
    <mergeCell ref="A159:A164"/>
    <mergeCell ref="A80:A85"/>
    <mergeCell ref="A87:A92"/>
    <mergeCell ref="A145:A150"/>
    <mergeCell ref="A138:A143"/>
    <mergeCell ref="A3:A8"/>
  </mergeCells>
  <pageMargins left="0.1" right="0.12" top="0.42" bottom="0.41" header="0.3" footer="0.32"/>
  <pageSetup firstPageNumber="1" fitToHeight="1" fitToWidth="1" scale="66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F211"/>
  <sheetViews>
    <sheetView workbookViewId="0" showGridLines="0" defaultGridColor="1"/>
  </sheetViews>
  <sheetFormatPr defaultColWidth="8.83333" defaultRowHeight="15" customHeight="1" outlineLevelRow="0" outlineLevelCol="0"/>
  <cols>
    <col min="1" max="1" width="5.35156" style="237" customWidth="1"/>
    <col min="2" max="2" width="22.5" style="237" customWidth="1"/>
    <col min="3" max="3" width="8.67188" style="237" customWidth="1"/>
    <col min="4" max="4" width="6.67188" style="237" customWidth="1"/>
    <col min="5" max="5" width="9.35156" style="237" customWidth="1"/>
    <col min="6" max="6" width="5.35156" style="237" customWidth="1"/>
    <col min="7" max="7" width="9.17188" style="237" customWidth="1"/>
    <col min="8" max="8" width="5.5" style="237" customWidth="1"/>
    <col min="9" max="9" width="9.17188" style="237" customWidth="1"/>
    <col min="10" max="10" width="5.5" style="237" customWidth="1"/>
    <col min="11" max="11" width="8.35156" style="237" customWidth="1"/>
    <col min="12" max="12" width="5.85156" style="237" customWidth="1"/>
    <col min="13" max="13" width="8.67188" style="237" customWidth="1"/>
    <col min="14" max="14" width="5.67188" style="237" customWidth="1"/>
    <col min="15" max="15" width="8.35156" style="237" customWidth="1"/>
    <col min="16" max="16" width="6" style="237" customWidth="1"/>
    <col min="17" max="17" width="8.5" style="237" customWidth="1"/>
    <col min="18" max="18" width="6" style="237" customWidth="1"/>
    <col min="19" max="19" width="8.85156" style="237" customWidth="1"/>
    <col min="20" max="20" width="5.85156" style="237" customWidth="1"/>
    <col min="21" max="21" width="8.5" style="237" customWidth="1"/>
    <col min="22" max="22" width="5.5" style="237" customWidth="1"/>
    <col min="23" max="26" width="7.5" style="237" customWidth="1"/>
    <col min="27" max="27" width="7" style="237" customWidth="1"/>
    <col min="28" max="29" width="7.5" style="237" customWidth="1"/>
    <col min="30" max="30" width="11.8516" style="237" customWidth="1"/>
    <col min="31" max="31" width="14.1719" style="237" customWidth="1"/>
    <col min="32" max="32" width="8.85156" style="237" customWidth="1"/>
    <col min="33" max="16384" width="8.85156" style="237" customWidth="1"/>
  </cols>
  <sheetData>
    <row r="1" ht="23.25" customHeight="1">
      <c r="A1" t="s" s="238">
        <v>427</v>
      </c>
      <c r="B1" s="239"/>
      <c r="C1" s="240"/>
      <c r="D1" s="240"/>
      <c r="E1" s="239"/>
      <c r="F1" s="239"/>
      <c r="G1" s="239"/>
      <c r="H1" s="239"/>
      <c r="I1" s="239"/>
      <c r="J1" s="239"/>
      <c r="K1" s="239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2"/>
      <c r="Y1" s="241"/>
      <c r="Z1" s="241"/>
      <c r="AA1" s="241"/>
      <c r="AB1" s="242"/>
      <c r="AC1" s="241"/>
      <c r="AD1" s="241"/>
      <c r="AE1" s="7"/>
      <c r="AF1" s="7"/>
    </row>
    <row r="2" ht="13.55" customHeight="1">
      <c r="A2" t="s" s="243">
        <v>1</v>
      </c>
      <c r="B2" t="s" s="8">
        <v>2</v>
      </c>
      <c r="C2" s="244"/>
      <c r="D2" s="245"/>
      <c r="E2" s="246">
        <v>46113</v>
      </c>
      <c r="F2" s="247"/>
      <c r="G2" s="248"/>
      <c r="H2" s="133"/>
      <c r="I2" s="249">
        <v>46143</v>
      </c>
      <c r="J2" s="133"/>
      <c r="K2" s="249">
        <v>46174</v>
      </c>
      <c r="L2" s="133"/>
      <c r="M2" s="249">
        <v>46204</v>
      </c>
      <c r="N2" s="133"/>
      <c r="O2" s="249">
        <v>46235</v>
      </c>
      <c r="P2" s="133"/>
      <c r="Q2" s="249">
        <v>46266</v>
      </c>
      <c r="R2" s="133"/>
      <c r="S2" s="249">
        <v>46296</v>
      </c>
      <c r="T2" s="250"/>
      <c r="U2" s="249">
        <v>46327</v>
      </c>
      <c r="V2" s="250"/>
      <c r="W2" s="249">
        <v>46357</v>
      </c>
      <c r="X2" s="244"/>
      <c r="Y2" s="249">
        <v>46388</v>
      </c>
      <c r="Z2" s="179"/>
      <c r="AA2" s="179">
        <v>46419</v>
      </c>
      <c r="AB2" s="244"/>
      <c r="AC2" s="249">
        <v>46447</v>
      </c>
      <c r="AD2" t="s" s="12">
        <v>3</v>
      </c>
      <c r="AE2" s="13"/>
      <c r="AF2" s="7"/>
    </row>
    <row r="3" ht="13.75" customHeight="1">
      <c r="A3" s="251">
        <v>1</v>
      </c>
      <c r="B3" t="s" s="130">
        <v>428</v>
      </c>
      <c r="C3" s="9"/>
      <c r="D3" s="9"/>
      <c r="E3" t="s" s="8">
        <v>5</v>
      </c>
      <c r="F3" t="s" s="8">
        <v>6</v>
      </c>
      <c r="G3" s="16">
        <v>1083</v>
      </c>
      <c r="H3" t="s" s="8">
        <v>6</v>
      </c>
      <c r="I3" s="16">
        <v>1083</v>
      </c>
      <c r="J3" t="s" s="8">
        <v>6</v>
      </c>
      <c r="K3" s="16">
        <v>1083</v>
      </c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8">
        <v>6</v>
      </c>
      <c r="Y3" s="18"/>
      <c r="Z3" t="s" s="243">
        <v>6</v>
      </c>
      <c r="AA3" s="18"/>
      <c r="AB3" t="s" s="243">
        <v>6</v>
      </c>
      <c r="AC3" s="18"/>
      <c r="AD3" s="24"/>
      <c r="AE3" s="13"/>
      <c r="AF3" s="7"/>
    </row>
    <row r="4" ht="13.55" customHeight="1">
      <c r="A4" s="23"/>
      <c r="B4" s="9"/>
      <c r="C4" s="9"/>
      <c r="D4" s="9"/>
      <c r="E4" s="9"/>
      <c r="F4" t="s" s="8">
        <v>8</v>
      </c>
      <c r="G4" s="26">
        <v>1100</v>
      </c>
      <c r="H4" t="s" s="8">
        <v>8</v>
      </c>
      <c r="I4" s="26">
        <v>1100</v>
      </c>
      <c r="J4" t="s" s="8">
        <v>8</v>
      </c>
      <c r="K4" s="26">
        <v>1100</v>
      </c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7"/>
      <c r="Z4" t="s" s="243">
        <v>8</v>
      </c>
      <c r="AA4" s="27"/>
      <c r="AB4" t="s" s="243">
        <v>8</v>
      </c>
      <c r="AC4" s="27"/>
      <c r="AD4" s="117" cm="1">
        <f t="array" ref="AD4">G4+I4+K4+M4+O4+Q4+S4+U4+W4+Y4+AA4+AC4</f>
        <v>3300</v>
      </c>
      <c r="AE4" s="50" cm="1">
        <f t="array" ref="AE4">1000*12</f>
        <v>12000</v>
      </c>
      <c r="AF4" s="51" cm="1">
        <f t="array" ref="AF4">AE4-AD4</f>
        <v>8700</v>
      </c>
    </row>
    <row r="5" ht="13.55" customHeight="1">
      <c r="A5" s="23"/>
      <c r="B5" s="9"/>
      <c r="C5" t="s" s="8">
        <v>9</v>
      </c>
      <c r="D5" s="25">
        <v>1000</v>
      </c>
      <c r="E5" s="34"/>
      <c r="F5" t="s" s="8">
        <v>10</v>
      </c>
      <c r="G5" t="s" s="33">
        <v>17</v>
      </c>
      <c r="H5" t="s" s="8">
        <v>10</v>
      </c>
      <c r="I5" t="s" s="33">
        <v>17</v>
      </c>
      <c r="J5" t="s" s="8">
        <v>10</v>
      </c>
      <c r="K5" t="s" s="33">
        <v>17</v>
      </c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s="34"/>
      <c r="Z5" t="s" s="243">
        <v>10</v>
      </c>
      <c r="AA5" s="34"/>
      <c r="AB5" t="s" s="243">
        <v>10</v>
      </c>
      <c r="AC5" s="34"/>
      <c r="AD5" s="32"/>
      <c r="AE5" s="13"/>
      <c r="AF5" s="7"/>
    </row>
    <row r="6" ht="13.75" customHeight="1">
      <c r="A6" s="23"/>
      <c r="B6" t="s" s="8">
        <v>429</v>
      </c>
      <c r="C6" s="9"/>
      <c r="D6" s="9"/>
      <c r="E6" t="s" s="8">
        <v>14</v>
      </c>
      <c r="F6" t="s" s="8">
        <v>6</v>
      </c>
      <c r="G6" s="24"/>
      <c r="H6" t="s" s="8">
        <v>6</v>
      </c>
      <c r="I6" s="16">
        <v>2021</v>
      </c>
      <c r="J6" t="s" s="8">
        <v>6</v>
      </c>
      <c r="K6" s="135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8">
        <v>6</v>
      </c>
      <c r="Y6" s="18"/>
      <c r="Z6" t="s" s="243">
        <v>6</v>
      </c>
      <c r="AA6" s="18"/>
      <c r="AB6" t="s" s="243">
        <v>6</v>
      </c>
      <c r="AC6" s="18"/>
      <c r="AD6" s="32"/>
      <c r="AE6" s="13"/>
      <c r="AF6" s="7"/>
    </row>
    <row r="7" ht="13.55" customHeight="1">
      <c r="A7" s="23"/>
      <c r="B7" t="s" s="8">
        <v>430</v>
      </c>
      <c r="C7" s="9"/>
      <c r="D7" s="9"/>
      <c r="E7" s="9"/>
      <c r="F7" t="s" s="8">
        <v>8</v>
      </c>
      <c r="G7" s="32"/>
      <c r="H7" t="s" s="8">
        <v>8</v>
      </c>
      <c r="I7" s="26">
        <v>800</v>
      </c>
      <c r="J7" t="s" s="8">
        <v>8</v>
      </c>
      <c r="K7" s="135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7"/>
      <c r="Z7" t="s" s="243">
        <v>8</v>
      </c>
      <c r="AA7" s="27"/>
      <c r="AB7" t="s" s="243">
        <v>8</v>
      </c>
      <c r="AC7" s="27"/>
      <c r="AD7" s="252"/>
      <c r="AE7" s="50" cm="1">
        <f t="array" ref="AE7">700*11</f>
        <v>7700</v>
      </c>
      <c r="AF7" s="53" cm="1">
        <f t="array" ref="AF7">AE7-AD7</f>
        <v>7700</v>
      </c>
    </row>
    <row r="8" ht="13.55" customHeight="1">
      <c r="A8" s="23"/>
      <c r="B8" s="9"/>
      <c r="C8" s="9"/>
      <c r="D8" s="9"/>
      <c r="E8" s="9"/>
      <c r="F8" t="s" s="8">
        <v>10</v>
      </c>
      <c r="G8" s="44"/>
      <c r="H8" t="s" s="8">
        <v>10</v>
      </c>
      <c r="I8" t="s" s="33">
        <v>17</v>
      </c>
      <c r="J8" t="s" s="8">
        <v>10</v>
      </c>
      <c r="K8" s="135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s="34"/>
      <c r="Z8" t="s" s="243">
        <v>10</v>
      </c>
      <c r="AA8" s="34"/>
      <c r="AB8" t="s" s="243">
        <v>10</v>
      </c>
      <c r="AC8" s="34"/>
      <c r="AD8" s="32"/>
      <c r="AE8" s="13"/>
      <c r="AF8" s="7"/>
    </row>
    <row r="9" ht="13.55" customHeight="1">
      <c r="A9" s="253"/>
      <c r="B9" s="9"/>
      <c r="C9" s="9"/>
      <c r="D9" s="9"/>
      <c r="E9" s="9"/>
      <c r="F9" s="9"/>
      <c r="G9" s="27"/>
      <c r="H9" s="9"/>
      <c r="I9" s="9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253"/>
      <c r="Z9" s="253"/>
      <c r="AA9" s="253"/>
      <c r="AB9" s="253"/>
      <c r="AC9" s="253"/>
      <c r="AD9" s="32"/>
      <c r="AE9" s="13"/>
      <c r="AF9" s="7"/>
    </row>
    <row r="10" ht="13.75" customHeight="1">
      <c r="A10" s="254">
        <v>2</v>
      </c>
      <c r="B10" t="s" s="130">
        <v>431</v>
      </c>
      <c r="C10" s="9"/>
      <c r="D10" s="9"/>
      <c r="E10" t="s" s="8">
        <v>5</v>
      </c>
      <c r="F10" t="s" s="8">
        <v>6</v>
      </c>
      <c r="G10" s="16">
        <v>1203</v>
      </c>
      <c r="H10" t="s" s="8">
        <v>6</v>
      </c>
      <c r="I10" s="18"/>
      <c r="J10" t="s" s="8">
        <v>6</v>
      </c>
      <c r="K10" s="18"/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8"/>
      <c r="Z10" t="s" s="243">
        <v>6</v>
      </c>
      <c r="AA10" s="18"/>
      <c r="AB10" t="s" s="243">
        <v>6</v>
      </c>
      <c r="AC10" s="18"/>
      <c r="AD10" s="32"/>
      <c r="AE10" s="13"/>
      <c r="AF10" s="7"/>
    </row>
    <row r="11" ht="13.55" customHeight="1">
      <c r="A11" s="255"/>
      <c r="B11" s="9"/>
      <c r="C11" s="9"/>
      <c r="D11" s="9"/>
      <c r="E11" s="9"/>
      <c r="F11" t="s" s="8">
        <v>8</v>
      </c>
      <c r="G11" s="26">
        <v>1100</v>
      </c>
      <c r="H11" t="s" s="8">
        <v>8</v>
      </c>
      <c r="I11" s="27"/>
      <c r="J11" t="s" s="8">
        <v>8</v>
      </c>
      <c r="K11" s="27"/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243">
        <v>8</v>
      </c>
      <c r="AA11" s="27"/>
      <c r="AB11" t="s" s="243">
        <v>8</v>
      </c>
      <c r="AC11" s="27"/>
      <c r="AD11" s="117" cm="1">
        <f t="array" ref="AD11">G11+I11+K11+M11+O11+Q11+S11+U11+W11+Y11+AA11+AC11</f>
        <v>1100</v>
      </c>
      <c r="AE11" s="50" cm="1">
        <f t="array" ref="AE11">1000*12</f>
        <v>12000</v>
      </c>
      <c r="AF11" s="51" cm="1">
        <f t="array" ref="AF11">AE11-AD11</f>
        <v>10900</v>
      </c>
    </row>
    <row r="12" ht="13.55" customHeight="1">
      <c r="A12" s="255"/>
      <c r="B12" s="9"/>
      <c r="C12" t="s" s="8">
        <v>9</v>
      </c>
      <c r="D12" s="25">
        <v>1000</v>
      </c>
      <c r="E12" s="9"/>
      <c r="F12" t="s" s="8">
        <v>10</v>
      </c>
      <c r="G12" t="s" s="33">
        <v>126</v>
      </c>
      <c r="H12" t="s" s="8">
        <v>10</v>
      </c>
      <c r="I12" s="34"/>
      <c r="J12" t="s" s="8">
        <v>10</v>
      </c>
      <c r="K12" s="34"/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243">
        <v>10</v>
      </c>
      <c r="AA12" s="34"/>
      <c r="AB12" t="s" s="243">
        <v>10</v>
      </c>
      <c r="AC12" s="34"/>
      <c r="AD12" s="32"/>
      <c r="AE12" s="13"/>
      <c r="AF12" s="7"/>
    </row>
    <row r="13" ht="13.75" customHeight="1">
      <c r="A13" s="255"/>
      <c r="B13" t="s" s="8">
        <v>432</v>
      </c>
      <c r="C13" s="9"/>
      <c r="D13" s="9"/>
      <c r="E13" t="s" s="8">
        <v>14</v>
      </c>
      <c r="F13" t="s" s="8">
        <v>6</v>
      </c>
      <c r="G13" s="16">
        <v>2113</v>
      </c>
      <c r="H13" t="s" s="8">
        <v>6</v>
      </c>
      <c r="I13" s="18"/>
      <c r="J13" t="s" s="8">
        <v>6</v>
      </c>
      <c r="K13" s="148"/>
      <c r="L13" t="s" s="8">
        <v>6</v>
      </c>
      <c r="M13" s="131"/>
      <c r="N13" t="s" s="8">
        <v>6</v>
      </c>
      <c r="O13" s="131"/>
      <c r="P13" t="s" s="8">
        <v>6</v>
      </c>
      <c r="Q13" s="18"/>
      <c r="R13" t="s" s="8">
        <v>6</v>
      </c>
      <c r="S13" s="18"/>
      <c r="T13" t="s" s="8">
        <v>6</v>
      </c>
      <c r="U13" s="18"/>
      <c r="V13" t="s" s="8">
        <v>6</v>
      </c>
      <c r="W13" s="18"/>
      <c r="X13" t="s" s="8">
        <v>6</v>
      </c>
      <c r="Y13" s="18"/>
      <c r="Z13" t="s" s="243">
        <v>6</v>
      </c>
      <c r="AA13" s="18"/>
      <c r="AB13" t="s" s="243">
        <v>6</v>
      </c>
      <c r="AC13" s="18"/>
      <c r="AD13" s="32"/>
      <c r="AE13" s="13"/>
      <c r="AF13" s="7"/>
    </row>
    <row r="14" ht="13.55" customHeight="1">
      <c r="A14" s="255"/>
      <c r="B14" t="s" s="8">
        <v>433</v>
      </c>
      <c r="C14" s="9"/>
      <c r="D14" s="9"/>
      <c r="E14" s="9"/>
      <c r="F14" t="s" s="8">
        <v>8</v>
      </c>
      <c r="G14" s="26">
        <v>600</v>
      </c>
      <c r="H14" t="s" s="8">
        <v>8</v>
      </c>
      <c r="I14" s="27"/>
      <c r="J14" t="s" s="8">
        <v>8</v>
      </c>
      <c r="K14" s="149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8">
        <v>8</v>
      </c>
      <c r="Y14" s="27"/>
      <c r="Z14" t="s" s="243">
        <v>8</v>
      </c>
      <c r="AA14" s="27"/>
      <c r="AB14" t="s" s="243">
        <v>8</v>
      </c>
      <c r="AC14" s="27"/>
      <c r="AD14" s="32" cm="1">
        <f t="array" ref="AD14">G14+I14+K14+M14+O14+Q14+S14+U14+W14+Y14+AA14+AC14</f>
      </c>
      <c r="AE14" s="50" cm="1">
        <f t="array" ref="AE14">500*11</f>
        <v>5500</v>
      </c>
      <c r="AF14" s="7" cm="1">
        <f t="array" ref="AF14">AE14-AD14</f>
      </c>
    </row>
    <row r="15" ht="13.55" customHeight="1">
      <c r="A15" s="255"/>
      <c r="B15" s="23"/>
      <c r="C15" s="9"/>
      <c r="D15" s="9"/>
      <c r="E15" s="9"/>
      <c r="F15" t="s" s="8">
        <v>10</v>
      </c>
      <c r="G15" t="s" s="33">
        <v>126</v>
      </c>
      <c r="H15" t="s" s="8">
        <v>10</v>
      </c>
      <c r="I15" s="34"/>
      <c r="J15" t="s" s="8">
        <v>10</v>
      </c>
      <c r="K15" s="150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8">
        <v>10</v>
      </c>
      <c r="Y15" s="34"/>
      <c r="Z15" t="s" s="243">
        <v>10</v>
      </c>
      <c r="AA15" s="34"/>
      <c r="AB15" t="s" s="243">
        <v>10</v>
      </c>
      <c r="AC15" s="34"/>
      <c r="AD15" s="32"/>
      <c r="AE15" s="13"/>
      <c r="AF15" s="7"/>
    </row>
    <row r="16" ht="13.55" customHeight="1">
      <c r="A16" s="253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253"/>
      <c r="Z16" s="253"/>
      <c r="AA16" s="253"/>
      <c r="AB16" s="253"/>
      <c r="AC16" s="253"/>
      <c r="AD16" s="32"/>
      <c r="AE16" s="13"/>
      <c r="AF16" s="7"/>
    </row>
    <row r="17" ht="13.75" customHeight="1">
      <c r="A17" s="254">
        <v>3</v>
      </c>
      <c r="B17" t="s" s="130">
        <v>434</v>
      </c>
      <c r="C17" s="9"/>
      <c r="D17" s="9"/>
      <c r="E17" t="s" s="8">
        <v>5</v>
      </c>
      <c r="F17" t="s" s="8">
        <v>6</v>
      </c>
      <c r="G17" s="16">
        <v>1243</v>
      </c>
      <c r="H17" t="s" s="8">
        <v>6</v>
      </c>
      <c r="I17" s="16">
        <v>1243</v>
      </c>
      <c r="J17" t="s" s="8">
        <v>6</v>
      </c>
      <c r="K17" s="16">
        <v>3269</v>
      </c>
      <c r="L17" t="s" s="8">
        <v>6</v>
      </c>
      <c r="M17" s="16">
        <v>3269</v>
      </c>
      <c r="N17" t="s" s="8">
        <v>6</v>
      </c>
      <c r="O17" s="16">
        <v>3269</v>
      </c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8">
        <v>6</v>
      </c>
      <c r="Y17" s="18"/>
      <c r="Z17" t="s" s="243">
        <v>6</v>
      </c>
      <c r="AA17" s="18"/>
      <c r="AB17" t="s" s="243">
        <v>6</v>
      </c>
      <c r="AC17" s="18"/>
      <c r="AD17" s="32"/>
      <c r="AE17" s="13"/>
      <c r="AF17" s="7"/>
    </row>
    <row r="18" ht="13.55" customHeight="1">
      <c r="A18" s="255"/>
      <c r="B18" s="9"/>
      <c r="C18" s="9"/>
      <c r="D18" s="42"/>
      <c r="E18" s="9"/>
      <c r="F18" t="s" s="8">
        <v>8</v>
      </c>
      <c r="G18" s="26">
        <v>1100</v>
      </c>
      <c r="H18" t="s" s="8">
        <v>8</v>
      </c>
      <c r="I18" s="26">
        <v>1100</v>
      </c>
      <c r="J18" t="s" s="8">
        <v>8</v>
      </c>
      <c r="K18" s="26">
        <v>1100</v>
      </c>
      <c r="L18" t="s" s="8">
        <v>8</v>
      </c>
      <c r="M18" s="26">
        <v>1100</v>
      </c>
      <c r="N18" t="s" s="8">
        <v>8</v>
      </c>
      <c r="O18" s="26">
        <v>1100</v>
      </c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7"/>
      <c r="Z18" t="s" s="243">
        <v>8</v>
      </c>
      <c r="AA18" s="27"/>
      <c r="AB18" t="s" s="243">
        <v>8</v>
      </c>
      <c r="AC18" s="27"/>
      <c r="AD18" s="117" cm="1">
        <f t="array" ref="AD18">G18+I18+K18+M18+O18+Q18+S18+U18+W18+Y18+AA18+AC18</f>
        <v>5500</v>
      </c>
      <c r="AE18" s="50" cm="1">
        <f t="array" ref="AE18">1000*12</f>
        <v>12000</v>
      </c>
      <c r="AF18" s="51" cm="1">
        <f t="array" ref="AF18">AE18-AD18</f>
        <v>6500</v>
      </c>
    </row>
    <row r="19" ht="13.55" customHeight="1">
      <c r="A19" s="255"/>
      <c r="B19" s="9"/>
      <c r="C19" t="s" s="8">
        <v>9</v>
      </c>
      <c r="D19" t="s" s="256">
        <v>435</v>
      </c>
      <c r="E19" s="9"/>
      <c r="F19" t="s" s="8">
        <v>10</v>
      </c>
      <c r="G19" t="s" s="33">
        <v>436</v>
      </c>
      <c r="H19" t="s" s="8">
        <v>10</v>
      </c>
      <c r="I19" t="s" s="33">
        <v>436</v>
      </c>
      <c r="J19" t="s" s="8">
        <v>10</v>
      </c>
      <c r="K19" t="s" s="33">
        <v>292</v>
      </c>
      <c r="L19" t="s" s="33">
        <v>10</v>
      </c>
      <c r="M19" t="s" s="33">
        <v>292</v>
      </c>
      <c r="N19" t="s" s="8">
        <v>10</v>
      </c>
      <c r="O19" t="s" s="33">
        <v>292</v>
      </c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s="34"/>
      <c r="Z19" t="s" s="243">
        <v>10</v>
      </c>
      <c r="AA19" s="34"/>
      <c r="AB19" t="s" s="243">
        <v>10</v>
      </c>
      <c r="AC19" s="34"/>
      <c r="AD19" s="32"/>
      <c r="AE19" s="13"/>
      <c r="AF19" s="7"/>
    </row>
    <row r="20" ht="13.55" customHeight="1">
      <c r="A20" s="255"/>
      <c r="B20" t="s" s="8">
        <v>437</v>
      </c>
      <c r="C20" s="9"/>
      <c r="D20" s="9"/>
      <c r="E20" t="s" s="8">
        <v>14</v>
      </c>
      <c r="F20" t="s" s="8">
        <v>6</v>
      </c>
      <c r="G20" s="27"/>
      <c r="H20" t="s" s="8">
        <v>6</v>
      </c>
      <c r="I20" s="27"/>
      <c r="J20" t="s" s="8">
        <v>6</v>
      </c>
      <c r="K20" s="27"/>
      <c r="L20" t="s" s="8">
        <v>6</v>
      </c>
      <c r="M20" s="9"/>
      <c r="N20" t="s" s="8">
        <v>6</v>
      </c>
      <c r="O20" s="9"/>
      <c r="P20" t="s" s="8">
        <v>6</v>
      </c>
      <c r="Q20" s="9"/>
      <c r="R20" t="s" s="8">
        <v>6</v>
      </c>
      <c r="S20" s="9"/>
      <c r="T20" t="s" s="8">
        <v>6</v>
      </c>
      <c r="U20" s="9"/>
      <c r="V20" t="s" s="8">
        <v>6</v>
      </c>
      <c r="W20" s="9"/>
      <c r="X20" t="s" s="8">
        <v>6</v>
      </c>
      <c r="Y20" s="253"/>
      <c r="Z20" t="s" s="243">
        <v>6</v>
      </c>
      <c r="AA20" s="253"/>
      <c r="AB20" t="s" s="243">
        <v>6</v>
      </c>
      <c r="AC20" s="253"/>
      <c r="AD20" s="32"/>
      <c r="AE20" s="13"/>
      <c r="AF20" s="7"/>
    </row>
    <row r="21" ht="13.55" customHeight="1">
      <c r="A21" s="255"/>
      <c r="B21" t="s" s="8">
        <v>438</v>
      </c>
      <c r="C21" s="9"/>
      <c r="D21" s="9"/>
      <c r="E21" s="9"/>
      <c r="F21" t="s" s="8">
        <v>8</v>
      </c>
      <c r="G21" s="27"/>
      <c r="H21" t="s" s="8">
        <v>8</v>
      </c>
      <c r="I21" s="27"/>
      <c r="J21" t="s" s="8">
        <v>8</v>
      </c>
      <c r="K21" s="27"/>
      <c r="L21" t="s" s="8">
        <v>8</v>
      </c>
      <c r="M21" s="9"/>
      <c r="N21" t="s" s="8">
        <v>8</v>
      </c>
      <c r="O21" s="9"/>
      <c r="P21" t="s" s="8">
        <v>8</v>
      </c>
      <c r="Q21" s="9"/>
      <c r="R21" t="s" s="8">
        <v>8</v>
      </c>
      <c r="S21" s="9"/>
      <c r="T21" t="s" s="8">
        <v>8</v>
      </c>
      <c r="U21" s="9"/>
      <c r="V21" t="s" s="8">
        <v>8</v>
      </c>
      <c r="W21" s="9"/>
      <c r="X21" t="s" s="8">
        <v>8</v>
      </c>
      <c r="Y21" s="253"/>
      <c r="Z21" t="s" s="243">
        <v>8</v>
      </c>
      <c r="AA21" s="253"/>
      <c r="AB21" t="s" s="243">
        <v>8</v>
      </c>
      <c r="AC21" s="253"/>
      <c r="AD21" s="117" cm="1">
        <f t="array" ref="AD21">G21+I21+K21+M21+O21+Q21+S21+U21+W21+Y21+AA21+AC21</f>
        <v>0</v>
      </c>
      <c r="AE21" s="13"/>
      <c r="AF21" s="7"/>
    </row>
    <row r="22" ht="13.55" customHeight="1">
      <c r="A22" s="255"/>
      <c r="B22" s="23"/>
      <c r="C22" s="9"/>
      <c r="D22" s="9"/>
      <c r="E22" s="9"/>
      <c r="F22" t="s" s="8">
        <v>10</v>
      </c>
      <c r="G22" s="27"/>
      <c r="H22" t="s" s="8">
        <v>10</v>
      </c>
      <c r="I22" s="27"/>
      <c r="J22" t="s" s="8">
        <v>10</v>
      </c>
      <c r="K22" s="27"/>
      <c r="L22" t="s" s="8">
        <v>10</v>
      </c>
      <c r="M22" s="9"/>
      <c r="N22" t="s" s="8">
        <v>10</v>
      </c>
      <c r="O22" s="9"/>
      <c r="P22" t="s" s="8">
        <v>10</v>
      </c>
      <c r="Q22" s="9"/>
      <c r="R22" t="s" s="8">
        <v>10</v>
      </c>
      <c r="S22" s="9"/>
      <c r="T22" t="s" s="8">
        <v>10</v>
      </c>
      <c r="U22" s="9"/>
      <c r="V22" t="s" s="8">
        <v>10</v>
      </c>
      <c r="W22" s="9"/>
      <c r="X22" t="s" s="8">
        <v>10</v>
      </c>
      <c r="Y22" s="253"/>
      <c r="Z22" t="s" s="243">
        <v>10</v>
      </c>
      <c r="AA22" s="253"/>
      <c r="AB22" t="s" s="243">
        <v>10</v>
      </c>
      <c r="AC22" s="253"/>
      <c r="AD22" s="32"/>
      <c r="AE22" s="13"/>
      <c r="AF22" s="7"/>
    </row>
    <row r="23" ht="13.55" customHeight="1">
      <c r="A23" s="253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253"/>
      <c r="Z23" s="253"/>
      <c r="AA23" s="253"/>
      <c r="AB23" s="253"/>
      <c r="AC23" s="253"/>
      <c r="AD23" s="32"/>
      <c r="AE23" s="13"/>
      <c r="AF23" s="7"/>
    </row>
    <row r="24" ht="13.75" customHeight="1">
      <c r="A24" s="254">
        <v>4</v>
      </c>
      <c r="B24" t="s" s="130">
        <v>4</v>
      </c>
      <c r="C24" s="9"/>
      <c r="D24" s="9"/>
      <c r="E24" t="s" s="8">
        <v>5</v>
      </c>
      <c r="F24" t="s" s="8">
        <v>6</v>
      </c>
      <c r="G24" s="16">
        <v>1143</v>
      </c>
      <c r="H24" t="s" s="8">
        <v>6</v>
      </c>
      <c r="I24" s="16">
        <v>3215</v>
      </c>
      <c r="J24" t="s" s="8">
        <v>6</v>
      </c>
      <c r="K24" s="18"/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8">
        <v>6</v>
      </c>
      <c r="Y24" s="18"/>
      <c r="Z24" t="s" s="243">
        <v>6</v>
      </c>
      <c r="AA24" s="18"/>
      <c r="AB24" t="s" s="243">
        <v>6</v>
      </c>
      <c r="AC24" s="18"/>
      <c r="AD24" s="32"/>
      <c r="AE24" s="13"/>
      <c r="AF24" s="7"/>
    </row>
    <row r="25" ht="13.55" customHeight="1">
      <c r="A25" s="255"/>
      <c r="B25" s="9"/>
      <c r="C25" s="9"/>
      <c r="D25" s="9"/>
      <c r="E25" s="9"/>
      <c r="F25" t="s" s="8">
        <v>8</v>
      </c>
      <c r="G25" s="26">
        <v>1100</v>
      </c>
      <c r="H25" t="s" s="8">
        <v>8</v>
      </c>
      <c r="I25" s="26">
        <v>1100</v>
      </c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7"/>
      <c r="Z25" t="s" s="243">
        <v>8</v>
      </c>
      <c r="AA25" s="27"/>
      <c r="AB25" t="s" s="243">
        <v>8</v>
      </c>
      <c r="AC25" s="27"/>
      <c r="AD25" s="252"/>
      <c r="AE25" s="50" cm="1">
        <f t="array" ref="AE25">1000*12</f>
        <v>12000</v>
      </c>
      <c r="AF25" s="53" cm="1">
        <f t="array" ref="AF25">AE25-AD25</f>
        <v>12000</v>
      </c>
    </row>
    <row r="26" ht="13.55" customHeight="1">
      <c r="A26" s="255"/>
      <c r="B26" s="9"/>
      <c r="C26" t="s" s="8">
        <v>9</v>
      </c>
      <c r="D26" s="25">
        <v>1000</v>
      </c>
      <c r="E26" s="9"/>
      <c r="F26" t="s" s="8">
        <v>10</v>
      </c>
      <c r="G26" t="s" s="33">
        <v>81</v>
      </c>
      <c r="H26" t="s" s="8">
        <v>10</v>
      </c>
      <c r="I26" t="s" s="33">
        <v>55</v>
      </c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s="34"/>
      <c r="Z26" t="s" s="243">
        <v>10</v>
      </c>
      <c r="AA26" s="34"/>
      <c r="AB26" t="s" s="243">
        <v>10</v>
      </c>
      <c r="AC26" s="34"/>
      <c r="AD26" s="32"/>
      <c r="AE26" s="13"/>
      <c r="AF26" s="7"/>
    </row>
    <row r="27" ht="13.75" customHeight="1">
      <c r="A27" s="255"/>
      <c r="B27" t="s" s="8">
        <v>439</v>
      </c>
      <c r="C27" s="9"/>
      <c r="D27" s="9"/>
      <c r="E27" t="s" s="8">
        <v>14</v>
      </c>
      <c r="F27" t="s" s="8">
        <v>6</v>
      </c>
      <c r="G27" s="16">
        <v>2063</v>
      </c>
      <c r="H27" t="s" s="8">
        <v>6</v>
      </c>
      <c r="I27" s="16">
        <v>2189</v>
      </c>
      <c r="J27" t="s" s="8">
        <v>6</v>
      </c>
      <c r="K27" s="131"/>
      <c r="L27" t="s" s="8">
        <v>6</v>
      </c>
      <c r="M27" s="18"/>
      <c r="N27" t="s" s="8">
        <v>6</v>
      </c>
      <c r="O27" s="18"/>
      <c r="P27" t="s" s="8">
        <v>6</v>
      </c>
      <c r="Q27" s="18"/>
      <c r="R27" t="s" s="8">
        <v>6</v>
      </c>
      <c r="S27" s="18"/>
      <c r="T27" t="s" s="8">
        <v>6</v>
      </c>
      <c r="U27" s="18"/>
      <c r="V27" t="s" s="8">
        <v>6</v>
      </c>
      <c r="W27" s="18"/>
      <c r="X27" t="s" s="8">
        <v>6</v>
      </c>
      <c r="Y27" s="18"/>
      <c r="Z27" t="s" s="243">
        <v>6</v>
      </c>
      <c r="AA27" s="18"/>
      <c r="AB27" t="s" s="243">
        <v>6</v>
      </c>
      <c r="AC27" s="18"/>
      <c r="AD27" s="32"/>
      <c r="AE27" s="13"/>
      <c r="AF27" s="7"/>
    </row>
    <row r="28" ht="13.55" customHeight="1">
      <c r="A28" s="255"/>
      <c r="B28" t="s" s="8">
        <v>440</v>
      </c>
      <c r="C28" s="9"/>
      <c r="D28" s="9"/>
      <c r="E28" s="9"/>
      <c r="F28" t="s" s="8">
        <v>8</v>
      </c>
      <c r="G28" s="26">
        <v>800</v>
      </c>
      <c r="H28" t="s" s="8">
        <v>8</v>
      </c>
      <c r="I28" s="26">
        <v>800</v>
      </c>
      <c r="J28" t="s" s="8">
        <v>8</v>
      </c>
      <c r="K28" s="27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8">
        <v>8</v>
      </c>
      <c r="Y28" s="27"/>
      <c r="Z28" t="s" s="243">
        <v>8</v>
      </c>
      <c r="AA28" s="27"/>
      <c r="AB28" t="s" s="243">
        <v>8</v>
      </c>
      <c r="AC28" s="27"/>
      <c r="AD28" s="252"/>
      <c r="AE28" s="50" cm="1">
        <f t="array" ref="AE28">700*11</f>
        <v>7700</v>
      </c>
      <c r="AF28" s="53" cm="1">
        <f t="array" ref="AF28">AE28-AD28</f>
        <v>7700</v>
      </c>
    </row>
    <row r="29" ht="13.55" customHeight="1">
      <c r="A29" s="255"/>
      <c r="B29" s="23"/>
      <c r="C29" s="9"/>
      <c r="D29" s="9"/>
      <c r="E29" s="9"/>
      <c r="F29" t="s" s="8">
        <v>10</v>
      </c>
      <c r="G29" t="s" s="33">
        <v>81</v>
      </c>
      <c r="H29" t="s" s="8">
        <v>10</v>
      </c>
      <c r="I29" t="s" s="33">
        <v>55</v>
      </c>
      <c r="J29" t="s" s="8">
        <v>10</v>
      </c>
      <c r="K29" s="34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8">
        <v>10</v>
      </c>
      <c r="Y29" s="34"/>
      <c r="Z29" t="s" s="243">
        <v>10</v>
      </c>
      <c r="AA29" s="34"/>
      <c r="AB29" t="s" s="243">
        <v>10</v>
      </c>
      <c r="AC29" s="34"/>
      <c r="AD29" s="32"/>
      <c r="AE29" s="13"/>
      <c r="AF29" s="7"/>
    </row>
    <row r="30" ht="13.55" customHeight="1">
      <c r="A30" s="253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253"/>
      <c r="Z30" s="253"/>
      <c r="AA30" s="253"/>
      <c r="AB30" s="253"/>
      <c r="AC30" s="253"/>
      <c r="AD30" s="32"/>
      <c r="AE30" s="13"/>
      <c r="AF30" s="7"/>
    </row>
    <row r="31" ht="13.75" customHeight="1">
      <c r="A31" s="254">
        <v>5</v>
      </c>
      <c r="B31" t="s" s="130">
        <v>441</v>
      </c>
      <c r="C31" s="9"/>
      <c r="D31" s="9"/>
      <c r="E31" t="s" s="8">
        <v>5</v>
      </c>
      <c r="F31" t="s" s="8">
        <v>6</v>
      </c>
      <c r="G31" s="16">
        <v>1120</v>
      </c>
      <c r="H31" t="s" s="8">
        <v>6</v>
      </c>
      <c r="I31" s="16">
        <v>3260</v>
      </c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243">
        <v>6</v>
      </c>
      <c r="AA31" s="18"/>
      <c r="AB31" t="s" s="243">
        <v>6</v>
      </c>
      <c r="AC31" s="18"/>
      <c r="AD31" s="32"/>
      <c r="AE31" s="13"/>
      <c r="AF31" s="7"/>
    </row>
    <row r="32" ht="13.55" customHeight="1">
      <c r="A32" s="255"/>
      <c r="B32" s="9"/>
      <c r="C32" s="9"/>
      <c r="D32" s="9"/>
      <c r="E32" s="9"/>
      <c r="F32" t="s" s="8">
        <v>8</v>
      </c>
      <c r="G32" s="26">
        <v>1100</v>
      </c>
      <c r="H32" t="s" s="8">
        <v>8</v>
      </c>
      <c r="I32" s="26">
        <v>1100</v>
      </c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243">
        <v>8</v>
      </c>
      <c r="AA32" s="27"/>
      <c r="AB32" t="s" s="243">
        <v>8</v>
      </c>
      <c r="AC32" s="27"/>
      <c r="AD32" s="117" cm="1">
        <f t="array" ref="AD32">G32+I32+K32+M32+O32+Q32+S32+U32+W32+Y32+AA32+AC32</f>
        <v>2200</v>
      </c>
      <c r="AE32" s="50" cm="1">
        <f t="array" ref="AE32">1000*12</f>
        <v>12000</v>
      </c>
      <c r="AF32" s="51" cm="1">
        <f t="array" ref="AF32">AE32-AD32</f>
        <v>9800</v>
      </c>
    </row>
    <row r="33" ht="13.55" customHeight="1">
      <c r="A33" s="255"/>
      <c r="B33" s="9"/>
      <c r="C33" t="s" s="8">
        <v>9</v>
      </c>
      <c r="D33" s="25">
        <v>1000</v>
      </c>
      <c r="E33" s="9"/>
      <c r="F33" t="s" s="8">
        <v>10</v>
      </c>
      <c r="G33" t="s" s="33">
        <v>93</v>
      </c>
      <c r="H33" t="s" s="8">
        <v>10</v>
      </c>
      <c r="I33" t="s" s="33">
        <v>35</v>
      </c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243">
        <v>10</v>
      </c>
      <c r="AA33" s="34"/>
      <c r="AB33" t="s" s="243">
        <v>10</v>
      </c>
      <c r="AC33" s="34"/>
      <c r="AD33" s="32"/>
      <c r="AE33" s="13"/>
      <c r="AF33" s="7"/>
    </row>
    <row r="34" ht="13.75" customHeight="1">
      <c r="A34" s="255"/>
      <c r="B34" t="s" s="8">
        <v>442</v>
      </c>
      <c r="C34" s="9"/>
      <c r="D34" s="9"/>
      <c r="E34" t="s" s="8">
        <v>14</v>
      </c>
      <c r="F34" t="s" s="8">
        <v>6</v>
      </c>
      <c r="G34" s="16">
        <v>2045</v>
      </c>
      <c r="H34" t="s" s="8">
        <v>6</v>
      </c>
      <c r="I34" s="16">
        <v>2221</v>
      </c>
      <c r="J34" t="s" s="8">
        <v>6</v>
      </c>
      <c r="K34" s="40"/>
      <c r="L34" t="s" s="8">
        <v>6</v>
      </c>
      <c r="M34" s="18"/>
      <c r="N34" t="s" s="8">
        <v>6</v>
      </c>
      <c r="O34" s="18"/>
      <c r="P34" t="s" s="8">
        <v>6</v>
      </c>
      <c r="Q34" s="18"/>
      <c r="R34" t="s" s="8">
        <v>6</v>
      </c>
      <c r="S34" s="18"/>
      <c r="T34" t="s" s="8">
        <v>6</v>
      </c>
      <c r="U34" s="18"/>
      <c r="V34" t="s" s="8">
        <v>6</v>
      </c>
      <c r="W34" s="18"/>
      <c r="X34" t="s" s="8">
        <v>6</v>
      </c>
      <c r="Y34" s="18"/>
      <c r="Z34" t="s" s="243">
        <v>6</v>
      </c>
      <c r="AA34" s="18"/>
      <c r="AB34" t="s" s="243">
        <v>6</v>
      </c>
      <c r="AC34" s="18"/>
      <c r="AD34" s="32"/>
      <c r="AE34" s="13"/>
      <c r="AF34" s="7"/>
    </row>
    <row r="35" ht="13.55" customHeight="1">
      <c r="A35" s="255"/>
      <c r="B35" t="s" s="8">
        <v>443</v>
      </c>
      <c r="C35" s="9"/>
      <c r="D35" s="9"/>
      <c r="E35" s="9"/>
      <c r="F35" t="s" s="8">
        <v>8</v>
      </c>
      <c r="G35" s="26">
        <v>600</v>
      </c>
      <c r="H35" t="s" s="8">
        <v>8</v>
      </c>
      <c r="I35" s="26">
        <v>600</v>
      </c>
      <c r="J35" t="s" s="8">
        <v>8</v>
      </c>
      <c r="K35" s="41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27"/>
      <c r="T35" t="s" s="8">
        <v>8</v>
      </c>
      <c r="U35" s="27"/>
      <c r="V35" t="s" s="8">
        <v>8</v>
      </c>
      <c r="W35" s="27"/>
      <c r="X35" t="s" s="8">
        <v>8</v>
      </c>
      <c r="Y35" s="27"/>
      <c r="Z35" t="s" s="243">
        <v>8</v>
      </c>
      <c r="AA35" s="27"/>
      <c r="AB35" t="s" s="243">
        <v>8</v>
      </c>
      <c r="AC35" s="27"/>
      <c r="AD35" s="32" cm="1">
        <f t="array" ref="AD35">G35+I35+K35+M35+O35+Q35+S35+U35+W35+Y35+AA35+AC35</f>
      </c>
      <c r="AE35" s="50" cm="1">
        <f t="array" ref="AE35">500*11</f>
        <v>5500</v>
      </c>
      <c r="AF35" s="7" cm="1">
        <f t="array" ref="AF35">AE35-AD35</f>
      </c>
    </row>
    <row r="36" ht="13.55" customHeight="1">
      <c r="A36" s="255"/>
      <c r="B36" s="23"/>
      <c r="C36" s="9"/>
      <c r="D36" s="9"/>
      <c r="E36" s="9"/>
      <c r="F36" t="s" s="8">
        <v>10</v>
      </c>
      <c r="G36" t="s" s="33">
        <v>93</v>
      </c>
      <c r="H36" t="s" s="8">
        <v>10</v>
      </c>
      <c r="I36" t="s" s="33">
        <v>35</v>
      </c>
      <c r="J36" t="s" s="8">
        <v>10</v>
      </c>
      <c r="K36" s="45"/>
      <c r="L36" t="s" s="8">
        <v>10</v>
      </c>
      <c r="M36" s="34"/>
      <c r="N36" t="s" s="8">
        <v>10</v>
      </c>
      <c r="O36" s="34"/>
      <c r="P36" t="s" s="8">
        <v>10</v>
      </c>
      <c r="Q36" s="34"/>
      <c r="R36" t="s" s="8">
        <v>10</v>
      </c>
      <c r="S36" s="34"/>
      <c r="T36" t="s" s="8">
        <v>10</v>
      </c>
      <c r="U36" s="34"/>
      <c r="V36" t="s" s="8">
        <v>10</v>
      </c>
      <c r="W36" s="34"/>
      <c r="X36" t="s" s="8">
        <v>10</v>
      </c>
      <c r="Y36" s="34"/>
      <c r="Z36" t="s" s="243">
        <v>10</v>
      </c>
      <c r="AA36" s="34"/>
      <c r="AB36" t="s" s="243">
        <v>10</v>
      </c>
      <c r="AC36" s="34"/>
      <c r="AD36" s="32"/>
      <c r="AE36" s="13"/>
      <c r="AF36" s="7"/>
    </row>
    <row r="37" ht="13.55" customHeight="1">
      <c r="A37" s="253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253"/>
      <c r="Z37" s="253"/>
      <c r="AA37" s="253"/>
      <c r="AB37" s="253"/>
      <c r="AC37" s="253"/>
      <c r="AD37" s="32"/>
      <c r="AE37" s="13"/>
      <c r="AF37" s="7"/>
    </row>
    <row r="38" ht="13.75" customHeight="1">
      <c r="A38" s="254">
        <v>6</v>
      </c>
      <c r="B38" t="s" s="130">
        <v>444</v>
      </c>
      <c r="C38" s="9"/>
      <c r="D38" s="9"/>
      <c r="E38" t="s" s="8">
        <v>5</v>
      </c>
      <c r="F38" t="s" s="8">
        <v>6</v>
      </c>
      <c r="G38" s="16">
        <v>1115</v>
      </c>
      <c r="H38" t="s" s="8">
        <v>6</v>
      </c>
      <c r="I38" s="16">
        <v>3187</v>
      </c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8"/>
      <c r="Z38" t="s" s="243">
        <v>6</v>
      </c>
      <c r="AA38" s="18"/>
      <c r="AB38" t="s" s="243">
        <v>6</v>
      </c>
      <c r="AC38" s="18"/>
      <c r="AD38" s="32"/>
      <c r="AE38" s="13"/>
      <c r="AF38" s="7"/>
    </row>
    <row r="39" ht="13.55" customHeight="1">
      <c r="A39" s="255"/>
      <c r="B39" s="9"/>
      <c r="C39" s="9"/>
      <c r="D39" s="9"/>
      <c r="E39" s="9"/>
      <c r="F39" t="s" s="8">
        <v>8</v>
      </c>
      <c r="G39" s="26">
        <v>1100</v>
      </c>
      <c r="H39" t="s" s="8">
        <v>8</v>
      </c>
      <c r="I39" s="26">
        <v>1100</v>
      </c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243">
        <v>8</v>
      </c>
      <c r="AA39" s="27"/>
      <c r="AB39" t="s" s="243">
        <v>8</v>
      </c>
      <c r="AC39" s="27"/>
      <c r="AD39" s="252"/>
      <c r="AE39" s="50" cm="1">
        <f t="array" ref="AE39">1000*12</f>
        <v>12000</v>
      </c>
      <c r="AF39" s="53" cm="1">
        <f t="array" ref="AF39">AE39-AD39</f>
        <v>12000</v>
      </c>
    </row>
    <row r="40" ht="13.55" customHeight="1">
      <c r="A40" s="255"/>
      <c r="B40" s="9"/>
      <c r="C40" t="s" s="8">
        <v>9</v>
      </c>
      <c r="D40" s="25">
        <v>1000</v>
      </c>
      <c r="E40" s="9"/>
      <c r="F40" t="s" s="8">
        <v>10</v>
      </c>
      <c r="G40" t="s" s="33">
        <v>93</v>
      </c>
      <c r="H40" t="s" s="8">
        <v>10</v>
      </c>
      <c r="I40" t="s" s="33">
        <v>24</v>
      </c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243">
        <v>10</v>
      </c>
      <c r="AA40" s="34"/>
      <c r="AB40" t="s" s="243">
        <v>10</v>
      </c>
      <c r="AC40" s="34"/>
      <c r="AD40" s="32"/>
      <c r="AE40" s="13"/>
      <c r="AF40" s="7"/>
    </row>
    <row r="41" ht="13.75" customHeight="1">
      <c r="A41" s="255"/>
      <c r="B41" t="s" s="8">
        <v>445</v>
      </c>
      <c r="C41" s="9"/>
      <c r="D41" s="9"/>
      <c r="E41" t="s" s="8">
        <v>14</v>
      </c>
      <c r="F41" t="s" s="8">
        <v>6</v>
      </c>
      <c r="G41" s="16">
        <v>2042</v>
      </c>
      <c r="H41" t="s" s="8">
        <v>6</v>
      </c>
      <c r="I41" s="16">
        <v>2167</v>
      </c>
      <c r="J41" t="s" s="8">
        <v>6</v>
      </c>
      <c r="K41" s="40"/>
      <c r="L41" t="s" s="8">
        <v>6</v>
      </c>
      <c r="M41" s="131"/>
      <c r="N41" t="s" s="8">
        <v>6</v>
      </c>
      <c r="O41" s="131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8">
        <v>6</v>
      </c>
      <c r="Y41" s="18"/>
      <c r="Z41" t="s" s="243">
        <v>6</v>
      </c>
      <c r="AA41" s="18"/>
      <c r="AB41" t="s" s="243">
        <v>6</v>
      </c>
      <c r="AC41" s="18"/>
      <c r="AD41" s="32"/>
      <c r="AE41" s="13"/>
      <c r="AF41" s="7"/>
    </row>
    <row r="42" ht="13.55" customHeight="1">
      <c r="A42" s="255"/>
      <c r="B42" t="s" s="8">
        <v>433</v>
      </c>
      <c r="C42" s="9"/>
      <c r="D42" s="9"/>
      <c r="E42" s="9"/>
      <c r="F42" t="s" s="8">
        <v>8</v>
      </c>
      <c r="G42" s="26">
        <v>600</v>
      </c>
      <c r="H42" t="s" s="8">
        <v>8</v>
      </c>
      <c r="I42" s="26">
        <v>600</v>
      </c>
      <c r="J42" t="s" s="8">
        <v>8</v>
      </c>
      <c r="K42" s="41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243">
        <v>8</v>
      </c>
      <c r="AA42" s="27"/>
      <c r="AB42" t="s" s="243">
        <v>8</v>
      </c>
      <c r="AC42" s="27"/>
      <c r="AD42" s="252"/>
      <c r="AE42" s="50" cm="1">
        <f t="array" ref="AE42">500*11</f>
        <v>5500</v>
      </c>
      <c r="AF42" s="53" cm="1">
        <f t="array" ref="AF42">AE42-AD42</f>
        <v>5500</v>
      </c>
    </row>
    <row r="43" ht="13.55" customHeight="1">
      <c r="A43" s="255"/>
      <c r="B43" s="23"/>
      <c r="C43" s="9"/>
      <c r="D43" s="9"/>
      <c r="E43" s="9"/>
      <c r="F43" t="s" s="8">
        <v>10</v>
      </c>
      <c r="G43" t="s" s="33">
        <v>93</v>
      </c>
      <c r="H43" t="s" s="8">
        <v>10</v>
      </c>
      <c r="I43" t="s" s="33">
        <v>24</v>
      </c>
      <c r="J43" t="s" s="8">
        <v>10</v>
      </c>
      <c r="K43" s="45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243">
        <v>10</v>
      </c>
      <c r="AA43" s="34"/>
      <c r="AB43" t="s" s="243">
        <v>10</v>
      </c>
      <c r="AC43" s="34"/>
      <c r="AD43" s="32"/>
      <c r="AE43" s="13"/>
      <c r="AF43" s="7"/>
    </row>
    <row r="44" ht="13.55" customHeight="1">
      <c r="A44" s="253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253"/>
      <c r="Z44" s="253"/>
      <c r="AA44" s="253"/>
      <c r="AB44" s="253"/>
      <c r="AC44" s="253"/>
      <c r="AD44" s="32"/>
      <c r="AE44" s="13"/>
      <c r="AF44" s="7"/>
    </row>
    <row r="45" ht="13.75" customHeight="1">
      <c r="A45" s="254">
        <v>7</v>
      </c>
      <c r="B45" t="s" s="130">
        <v>446</v>
      </c>
      <c r="C45" s="9"/>
      <c r="D45" s="9"/>
      <c r="E45" t="s" s="8">
        <v>5</v>
      </c>
      <c r="F45" t="s" s="8">
        <v>6</v>
      </c>
      <c r="G45" s="16">
        <v>1111</v>
      </c>
      <c r="H45" t="s" s="8">
        <v>6</v>
      </c>
      <c r="I45" s="16">
        <v>3176</v>
      </c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8"/>
      <c r="Z45" t="s" s="243">
        <v>6</v>
      </c>
      <c r="AA45" s="18"/>
      <c r="AB45" t="s" s="243">
        <v>6</v>
      </c>
      <c r="AC45" s="18"/>
      <c r="AD45" s="32"/>
      <c r="AE45" s="13"/>
      <c r="AF45" s="7"/>
    </row>
    <row r="46" ht="13.55" customHeight="1">
      <c r="A46" s="255"/>
      <c r="B46" s="9"/>
      <c r="C46" s="9"/>
      <c r="D46" s="9"/>
      <c r="E46" s="9"/>
      <c r="F46" t="s" s="8">
        <v>8</v>
      </c>
      <c r="G46" s="26">
        <v>1100</v>
      </c>
      <c r="H46" t="s" s="8">
        <v>8</v>
      </c>
      <c r="I46" s="26">
        <v>1100</v>
      </c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243">
        <v>8</v>
      </c>
      <c r="AA46" s="27"/>
      <c r="AB46" t="s" s="243">
        <v>8</v>
      </c>
      <c r="AC46" s="27"/>
      <c r="AD46" s="117" cm="1">
        <f t="array" ref="AD46">G46+I46+K46+M46+O46+Q46+S46+U46+W46+Y46+AA46+AC46</f>
        <v>2200</v>
      </c>
      <c r="AE46" s="50" cm="1">
        <f t="array" ref="AE46">1000*12</f>
        <v>12000</v>
      </c>
      <c r="AF46" s="51" cm="1">
        <f t="array" ref="AF46">AE46-AD46</f>
        <v>9800</v>
      </c>
    </row>
    <row r="47" ht="13.55" customHeight="1">
      <c r="A47" s="255"/>
      <c r="B47" s="9"/>
      <c r="C47" t="s" s="8">
        <v>9</v>
      </c>
      <c r="D47" s="25">
        <v>1000</v>
      </c>
      <c r="E47" s="9"/>
      <c r="F47" t="s" s="8">
        <v>10</v>
      </c>
      <c r="G47" t="s" s="33">
        <v>93</v>
      </c>
      <c r="H47" t="s" s="8">
        <v>10</v>
      </c>
      <c r="I47" t="s" s="33">
        <v>24</v>
      </c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243">
        <v>10</v>
      </c>
      <c r="AA47" s="34"/>
      <c r="AB47" t="s" s="243">
        <v>10</v>
      </c>
      <c r="AC47" s="34"/>
      <c r="AD47" s="32"/>
      <c r="AE47" s="13"/>
      <c r="AF47" s="7"/>
    </row>
    <row r="48" ht="13.75" customHeight="1">
      <c r="A48" s="255"/>
      <c r="B48" t="s" s="8">
        <v>447</v>
      </c>
      <c r="C48" s="9"/>
      <c r="D48" s="9"/>
      <c r="E48" t="s" s="8">
        <v>14</v>
      </c>
      <c r="F48" t="s" s="8">
        <v>6</v>
      </c>
      <c r="G48" s="16">
        <v>2038</v>
      </c>
      <c r="H48" t="s" s="8">
        <v>6</v>
      </c>
      <c r="I48" s="16">
        <v>2157</v>
      </c>
      <c r="J48" t="s" s="8">
        <v>6</v>
      </c>
      <c r="K48" s="18"/>
      <c r="L48" t="s" s="8">
        <v>6</v>
      </c>
      <c r="M48" s="18"/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8">
        <v>6</v>
      </c>
      <c r="Y48" s="18"/>
      <c r="Z48" t="s" s="243">
        <v>6</v>
      </c>
      <c r="AA48" s="18"/>
      <c r="AB48" t="s" s="243">
        <v>6</v>
      </c>
      <c r="AC48" s="18"/>
      <c r="AD48" s="32"/>
      <c r="AE48" s="13"/>
      <c r="AF48" s="7"/>
    </row>
    <row r="49" ht="13.55" customHeight="1">
      <c r="A49" s="255"/>
      <c r="B49" t="s" s="8">
        <v>448</v>
      </c>
      <c r="C49" s="9"/>
      <c r="D49" s="9"/>
      <c r="E49" s="9"/>
      <c r="F49" t="s" s="8">
        <v>8</v>
      </c>
      <c r="G49" s="26">
        <v>600</v>
      </c>
      <c r="H49" t="s" s="8">
        <v>8</v>
      </c>
      <c r="I49" s="26">
        <v>600</v>
      </c>
      <c r="J49" t="s" s="8">
        <v>8</v>
      </c>
      <c r="K49" s="27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7"/>
      <c r="Z49" t="s" s="243">
        <v>8</v>
      </c>
      <c r="AA49" s="27"/>
      <c r="AB49" t="s" s="243">
        <v>8</v>
      </c>
      <c r="AC49" s="27"/>
      <c r="AD49" s="117" cm="1">
        <f t="array" ref="AD49">G49+I49+K49+M49+O49+Q49+S49+U49+W49+Y49+AA49+AC49</f>
        <v>1200</v>
      </c>
      <c r="AE49" s="50" cm="1">
        <f t="array" ref="AE49">500*11</f>
        <v>5500</v>
      </c>
      <c r="AF49" s="51" cm="1">
        <f t="array" ref="AF49">AE49-AD49</f>
        <v>4300</v>
      </c>
    </row>
    <row r="50" ht="13.55" customHeight="1">
      <c r="A50" s="255"/>
      <c r="B50" s="23"/>
      <c r="C50" s="9"/>
      <c r="D50" s="9"/>
      <c r="E50" s="9"/>
      <c r="F50" t="s" s="8">
        <v>10</v>
      </c>
      <c r="G50" t="s" s="33">
        <v>93</v>
      </c>
      <c r="H50" t="s" s="8">
        <v>10</v>
      </c>
      <c r="I50" t="s" s="33">
        <v>24</v>
      </c>
      <c r="J50" t="s" s="8">
        <v>10</v>
      </c>
      <c r="K50" s="34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s="34"/>
      <c r="Z50" t="s" s="243">
        <v>10</v>
      </c>
      <c r="AA50" s="34"/>
      <c r="AB50" t="s" s="243">
        <v>10</v>
      </c>
      <c r="AC50" s="34"/>
      <c r="AD50" s="32"/>
      <c r="AE50" s="13"/>
      <c r="AF50" s="7"/>
    </row>
    <row r="51" ht="13.55" customHeight="1">
      <c r="A51" s="253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253"/>
      <c r="Z51" s="253"/>
      <c r="AA51" s="253"/>
      <c r="AB51" s="253"/>
      <c r="AC51" s="253"/>
      <c r="AD51" s="32"/>
      <c r="AE51" s="13"/>
      <c r="AF51" s="7"/>
    </row>
    <row r="52" ht="13.75" customHeight="1">
      <c r="A52" s="254">
        <v>8</v>
      </c>
      <c r="B52" t="s" s="130">
        <v>449</v>
      </c>
      <c r="C52" s="9"/>
      <c r="D52" s="9"/>
      <c r="E52" t="s" s="8">
        <v>5</v>
      </c>
      <c r="F52" t="s" s="8">
        <v>6</v>
      </c>
      <c r="G52" s="16">
        <v>1176</v>
      </c>
      <c r="H52" t="s" s="8">
        <v>6</v>
      </c>
      <c r="I52" s="16">
        <v>1176</v>
      </c>
      <c r="J52" t="s" s="8">
        <v>6</v>
      </c>
      <c r="K52" s="16">
        <v>1176</v>
      </c>
      <c r="L52" t="s" s="8">
        <v>6</v>
      </c>
      <c r="M52" s="18"/>
      <c r="N52" t="s" s="8">
        <v>6</v>
      </c>
      <c r="O52" s="18"/>
      <c r="P52" t="s" s="8">
        <v>6</v>
      </c>
      <c r="Q52" s="18"/>
      <c r="R52" t="s" s="8">
        <v>6</v>
      </c>
      <c r="S52" s="18"/>
      <c r="T52" t="s" s="8">
        <v>6</v>
      </c>
      <c r="U52" s="18"/>
      <c r="V52" t="s" s="8">
        <v>6</v>
      </c>
      <c r="W52" s="18"/>
      <c r="X52" t="s" s="8">
        <v>6</v>
      </c>
      <c r="Y52" s="18"/>
      <c r="Z52" t="s" s="243">
        <v>6</v>
      </c>
      <c r="AA52" s="18"/>
      <c r="AB52" t="s" s="243">
        <v>6</v>
      </c>
      <c r="AC52" s="18"/>
      <c r="AD52" s="32"/>
      <c r="AE52" s="13"/>
      <c r="AF52" s="7"/>
    </row>
    <row r="53" ht="13.55" customHeight="1">
      <c r="A53" s="255"/>
      <c r="B53" s="23"/>
      <c r="C53" s="9"/>
      <c r="D53" s="9"/>
      <c r="E53" s="9"/>
      <c r="F53" t="s" s="8">
        <v>8</v>
      </c>
      <c r="G53" s="26">
        <v>550</v>
      </c>
      <c r="H53" t="s" s="8">
        <v>8</v>
      </c>
      <c r="I53" s="26">
        <v>550</v>
      </c>
      <c r="J53" t="s" s="8">
        <v>8</v>
      </c>
      <c r="K53" s="26">
        <v>550</v>
      </c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7"/>
      <c r="Z53" t="s" s="243">
        <v>8</v>
      </c>
      <c r="AA53" s="27"/>
      <c r="AB53" t="s" s="243">
        <v>8</v>
      </c>
      <c r="AC53" s="27"/>
      <c r="AD53" s="117" cm="1">
        <f t="array" ref="AD53">G53+I53+K53+M53+O53+Q53+S53+U53+W53+Y53+AA53+AC53</f>
        <v>1650</v>
      </c>
      <c r="AE53" s="50" cm="1">
        <f t="array" ref="AE53">500*12</f>
        <v>6000</v>
      </c>
      <c r="AF53" s="51" cm="1">
        <f t="array" ref="AF53">AE53-AD53</f>
        <v>4350</v>
      </c>
    </row>
    <row r="54" ht="13.55" customHeight="1">
      <c r="A54" s="255"/>
      <c r="B54" t="s" s="144">
        <v>60</v>
      </c>
      <c r="C54" t="s" s="8">
        <v>9</v>
      </c>
      <c r="D54" s="25">
        <v>1000</v>
      </c>
      <c r="E54" s="9"/>
      <c r="F54" t="s" s="8">
        <v>10</v>
      </c>
      <c r="G54" t="s" s="33">
        <v>39</v>
      </c>
      <c r="H54" t="s" s="8">
        <v>10</v>
      </c>
      <c r="I54" t="s" s="33">
        <v>39</v>
      </c>
      <c r="J54" t="s" s="8">
        <v>10</v>
      </c>
      <c r="K54" t="s" s="33">
        <v>39</v>
      </c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s="34"/>
      <c r="Z54" t="s" s="243">
        <v>10</v>
      </c>
      <c r="AA54" s="34"/>
      <c r="AB54" t="s" s="243">
        <v>10</v>
      </c>
      <c r="AC54" s="34"/>
      <c r="AD54" s="32"/>
      <c r="AE54" s="13"/>
      <c r="AF54" s="7"/>
    </row>
    <row r="55" ht="13.75" customHeight="1">
      <c r="A55" s="255"/>
      <c r="B55" t="s" s="8">
        <v>450</v>
      </c>
      <c r="C55" s="9"/>
      <c r="D55" s="9"/>
      <c r="E55" t="s" s="8">
        <v>14</v>
      </c>
      <c r="F55" t="s" s="8">
        <v>6</v>
      </c>
      <c r="G55" s="16">
        <v>2089</v>
      </c>
      <c r="H55" t="s" s="8">
        <v>6</v>
      </c>
      <c r="I55" s="16">
        <v>2089</v>
      </c>
      <c r="J55" t="s" s="8">
        <v>6</v>
      </c>
      <c r="K55" s="40"/>
      <c r="L55" t="s" s="8">
        <v>6</v>
      </c>
      <c r="M55" s="18"/>
      <c r="N55" t="s" s="8">
        <v>6</v>
      </c>
      <c r="O55" s="18"/>
      <c r="P55" t="s" s="8">
        <v>6</v>
      </c>
      <c r="Q55" s="18"/>
      <c r="R55" t="s" s="8">
        <v>6</v>
      </c>
      <c r="S55" s="18"/>
      <c r="T55" t="s" s="8">
        <v>6</v>
      </c>
      <c r="U55" s="18"/>
      <c r="V55" t="s" s="8">
        <v>6</v>
      </c>
      <c r="W55" s="18"/>
      <c r="X55" t="s" s="8">
        <v>6</v>
      </c>
      <c r="Y55" s="18"/>
      <c r="Z55" t="s" s="243">
        <v>6</v>
      </c>
      <c r="AA55" s="18"/>
      <c r="AB55" t="s" s="243">
        <v>6</v>
      </c>
      <c r="AC55" s="18"/>
      <c r="AD55" s="32"/>
      <c r="AE55" s="13"/>
      <c r="AF55" s="7"/>
    </row>
    <row r="56" ht="13.55" customHeight="1">
      <c r="A56" s="255"/>
      <c r="B56" t="s" s="8">
        <v>451</v>
      </c>
      <c r="C56" s="9"/>
      <c r="D56" s="9"/>
      <c r="E56" s="9"/>
      <c r="F56" t="s" s="8">
        <v>8</v>
      </c>
      <c r="G56" s="26">
        <v>600</v>
      </c>
      <c r="H56" t="s" s="8">
        <v>8</v>
      </c>
      <c r="I56" s="26">
        <v>600</v>
      </c>
      <c r="J56" t="s" s="8">
        <v>8</v>
      </c>
      <c r="K56" s="41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7"/>
      <c r="Z56" t="s" s="243">
        <v>8</v>
      </c>
      <c r="AA56" s="27"/>
      <c r="AB56" t="s" s="243">
        <v>8</v>
      </c>
      <c r="AC56" s="27"/>
      <c r="AD56" s="32" cm="1">
        <f t="array" ref="AD56">G56+I56+K56+M56+O56+Q56+S56+U56+W56+Y56+AA56+AC56</f>
      </c>
      <c r="AE56" s="50" cm="1">
        <f t="array" ref="AE56">500*11</f>
        <v>5500</v>
      </c>
      <c r="AF56" s="7" cm="1">
        <f t="array" ref="AF56">AE56-AD56</f>
      </c>
    </row>
    <row r="57" ht="13.55" customHeight="1">
      <c r="A57" s="255"/>
      <c r="B57" s="23"/>
      <c r="C57" s="9"/>
      <c r="D57" s="9"/>
      <c r="E57" s="9"/>
      <c r="F57" t="s" s="8">
        <v>10</v>
      </c>
      <c r="G57" t="s" s="33">
        <v>39</v>
      </c>
      <c r="H57" t="s" s="8">
        <v>10</v>
      </c>
      <c r="I57" t="s" s="33">
        <v>39</v>
      </c>
      <c r="J57" t="s" s="8">
        <v>10</v>
      </c>
      <c r="K57" s="45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s="34"/>
      <c r="Z57" t="s" s="243">
        <v>10</v>
      </c>
      <c r="AA57" s="34"/>
      <c r="AB57" t="s" s="243">
        <v>10</v>
      </c>
      <c r="AC57" s="34"/>
      <c r="AD57" s="32"/>
      <c r="AE57" s="13"/>
      <c r="AF57" s="7"/>
    </row>
    <row r="58" ht="13.55" customHeight="1">
      <c r="A58" s="253"/>
      <c r="B58" s="9"/>
      <c r="C58" s="9"/>
      <c r="D58" s="9"/>
      <c r="E58" s="9"/>
      <c r="F58" s="9"/>
      <c r="G58" s="27"/>
      <c r="H58" s="9"/>
      <c r="I58" s="27"/>
      <c r="J58" s="9"/>
      <c r="K58" s="2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253"/>
      <c r="Z58" s="253"/>
      <c r="AA58" s="253"/>
      <c r="AB58" s="253"/>
      <c r="AC58" s="253"/>
      <c r="AD58" s="32"/>
      <c r="AE58" s="13"/>
      <c r="AF58" s="7"/>
    </row>
    <row r="59" ht="13.75" customHeight="1">
      <c r="A59" s="254">
        <v>9</v>
      </c>
      <c r="B59" t="s" s="130">
        <v>452</v>
      </c>
      <c r="C59" s="9"/>
      <c r="D59" s="9"/>
      <c r="E59" t="s" s="8">
        <v>5</v>
      </c>
      <c r="F59" t="s" s="8">
        <v>6</v>
      </c>
      <c r="G59" s="16">
        <v>3154</v>
      </c>
      <c r="H59" t="s" s="8">
        <v>6</v>
      </c>
      <c r="I59" s="16">
        <v>3154</v>
      </c>
      <c r="J59" t="s" s="8">
        <v>6</v>
      </c>
      <c r="K59" s="18"/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8"/>
      <c r="Z59" t="s" s="243">
        <v>6</v>
      </c>
      <c r="AA59" s="18"/>
      <c r="AB59" t="s" s="243">
        <v>6</v>
      </c>
      <c r="AC59" s="18"/>
      <c r="AD59" s="32"/>
      <c r="AE59" s="13"/>
      <c r="AF59" s="7"/>
    </row>
    <row r="60" ht="13.55" customHeight="1">
      <c r="A60" s="255"/>
      <c r="B60" s="9"/>
      <c r="C60" s="9"/>
      <c r="D60" s="9"/>
      <c r="E60" s="9"/>
      <c r="F60" t="s" s="8">
        <v>8</v>
      </c>
      <c r="G60" s="26">
        <v>1100</v>
      </c>
      <c r="H60" t="s" s="8">
        <v>8</v>
      </c>
      <c r="I60" s="26">
        <v>1700</v>
      </c>
      <c r="J60" t="s" s="8">
        <v>8</v>
      </c>
      <c r="K60" s="27"/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7"/>
      <c r="Z60" t="s" s="243">
        <v>8</v>
      </c>
      <c r="AA60" s="27"/>
      <c r="AB60" t="s" s="243">
        <v>8</v>
      </c>
      <c r="AC60" s="27"/>
      <c r="AD60" s="117" cm="1">
        <f t="array" ref="AD60">G60+I60+K60+M60+O60+Q60+S60+U60+W60+Y60+AA60+AC60</f>
        <v>2800</v>
      </c>
      <c r="AE60" s="50" cm="1">
        <f t="array" ref="AE60">1000*12</f>
        <v>12000</v>
      </c>
      <c r="AF60" s="51" cm="1">
        <f t="array" ref="AF60">AE60-AD60</f>
        <v>9200</v>
      </c>
    </row>
    <row r="61" ht="13.55" customHeight="1">
      <c r="A61" s="255"/>
      <c r="B61" s="9"/>
      <c r="C61" t="s" s="8">
        <v>9</v>
      </c>
      <c r="D61" s="25">
        <v>1000</v>
      </c>
      <c r="E61" s="9"/>
      <c r="F61" t="s" s="8">
        <v>10</v>
      </c>
      <c r="G61" t="s" s="33">
        <v>453</v>
      </c>
      <c r="H61" t="s" s="8">
        <v>10</v>
      </c>
      <c r="I61" t="s" s="33">
        <v>453</v>
      </c>
      <c r="J61" t="s" s="8">
        <v>10</v>
      </c>
      <c r="K61" s="34"/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s="34"/>
      <c r="Z61" t="s" s="243">
        <v>10</v>
      </c>
      <c r="AA61" s="34"/>
      <c r="AB61" t="s" s="243">
        <v>10</v>
      </c>
      <c r="AC61" s="34"/>
      <c r="AD61" s="32"/>
      <c r="AE61" s="13"/>
      <c r="AF61" s="7"/>
    </row>
    <row r="62" ht="13.75" customHeight="1">
      <c r="A62" s="255"/>
      <c r="B62" t="s" s="8">
        <v>454</v>
      </c>
      <c r="C62" s="9"/>
      <c r="D62" s="9"/>
      <c r="E62" t="s" s="8">
        <v>14</v>
      </c>
      <c r="F62" t="s" s="8">
        <v>6</v>
      </c>
      <c r="G62" s="16">
        <v>2062</v>
      </c>
      <c r="H62" t="s" s="8">
        <v>6</v>
      </c>
      <c r="I62" s="16">
        <v>2142</v>
      </c>
      <c r="J62" t="s" s="8">
        <v>6</v>
      </c>
      <c r="K62" s="40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8"/>
      <c r="Z62" t="s" s="243">
        <v>6</v>
      </c>
      <c r="AA62" s="18"/>
      <c r="AB62" t="s" s="243">
        <v>6</v>
      </c>
      <c r="AC62" s="18"/>
      <c r="AD62" s="32"/>
      <c r="AE62" s="13"/>
      <c r="AF62" s="7"/>
    </row>
    <row r="63" ht="13.55" customHeight="1">
      <c r="A63" s="255"/>
      <c r="B63" t="s" s="8">
        <v>455</v>
      </c>
      <c r="C63" s="9"/>
      <c r="D63" s="9"/>
      <c r="E63" s="9"/>
      <c r="F63" t="s" s="8">
        <v>8</v>
      </c>
      <c r="G63" s="26">
        <v>600</v>
      </c>
      <c r="H63" t="s" s="8">
        <v>8</v>
      </c>
      <c r="I63" s="26">
        <v>600</v>
      </c>
      <c r="J63" t="s" s="8">
        <v>8</v>
      </c>
      <c r="K63" s="41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7"/>
      <c r="Z63" t="s" s="243">
        <v>8</v>
      </c>
      <c r="AA63" s="27"/>
      <c r="AB63" t="s" s="243">
        <v>8</v>
      </c>
      <c r="AC63" s="27"/>
      <c r="AD63" s="32" cm="1">
        <f t="array" ref="AD63">G63+I63+K63+M63+O63+Q63+S63+U63+W63+Y63+AA63+AC63</f>
      </c>
      <c r="AE63" s="50" cm="1">
        <f t="array" ref="AE63">500*11</f>
        <v>5500</v>
      </c>
      <c r="AF63" s="7" cm="1">
        <f t="array" ref="AF63">AE63-AD63</f>
      </c>
    </row>
    <row r="64" ht="13.55" customHeight="1">
      <c r="A64" s="255"/>
      <c r="B64" s="23"/>
      <c r="C64" s="9"/>
      <c r="D64" s="9"/>
      <c r="E64" s="9"/>
      <c r="F64" t="s" s="8">
        <v>10</v>
      </c>
      <c r="G64" t="s" s="33">
        <v>81</v>
      </c>
      <c r="H64" t="s" s="8">
        <v>10</v>
      </c>
      <c r="I64" t="s" s="33">
        <v>453</v>
      </c>
      <c r="J64" t="s" s="8">
        <v>10</v>
      </c>
      <c r="K64" s="45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s="34"/>
      <c r="Z64" t="s" s="243">
        <v>10</v>
      </c>
      <c r="AA64" s="34"/>
      <c r="AB64" t="s" s="243">
        <v>10</v>
      </c>
      <c r="AC64" s="34"/>
      <c r="AD64" s="32"/>
      <c r="AE64" s="13"/>
      <c r="AF64" s="7"/>
    </row>
    <row r="65" ht="13.55" customHeight="1">
      <c r="A65" s="253"/>
      <c r="B65" s="9"/>
      <c r="C65" s="9"/>
      <c r="D65" s="9"/>
      <c r="E65" s="9"/>
      <c r="F65" s="9"/>
      <c r="G65" s="27"/>
      <c r="H65" s="9"/>
      <c r="I65" s="27"/>
      <c r="J65" s="9"/>
      <c r="K65" s="2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253"/>
      <c r="Z65" s="253"/>
      <c r="AA65" s="253"/>
      <c r="AB65" s="253"/>
      <c r="AC65" s="253"/>
      <c r="AD65" s="32"/>
      <c r="AE65" s="13"/>
      <c r="AF65" s="7"/>
    </row>
    <row r="66" ht="13.75" customHeight="1">
      <c r="A66" s="254">
        <v>10</v>
      </c>
      <c r="B66" t="s" s="130">
        <v>456</v>
      </c>
      <c r="C66" s="9"/>
      <c r="D66" s="9"/>
      <c r="E66" t="s" s="8">
        <v>5</v>
      </c>
      <c r="F66" t="s" s="8">
        <v>6</v>
      </c>
      <c r="G66" s="16">
        <v>1184</v>
      </c>
      <c r="H66" t="s" s="8">
        <v>6</v>
      </c>
      <c r="I66" s="16">
        <v>3180</v>
      </c>
      <c r="J66" t="s" s="8">
        <v>6</v>
      </c>
      <c r="K66" s="18"/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8"/>
      <c r="Z66" t="s" s="243">
        <v>6</v>
      </c>
      <c r="AA66" s="18"/>
      <c r="AB66" t="s" s="243">
        <v>6</v>
      </c>
      <c r="AC66" s="18"/>
      <c r="AD66" s="32"/>
      <c r="AE66" s="13"/>
      <c r="AF66" s="7"/>
    </row>
    <row r="67" ht="13.55" customHeight="1">
      <c r="A67" s="255"/>
      <c r="B67" s="9"/>
      <c r="C67" s="9"/>
      <c r="D67" s="9"/>
      <c r="E67" s="9"/>
      <c r="F67" t="s" s="8">
        <v>8</v>
      </c>
      <c r="G67" s="26">
        <v>1100</v>
      </c>
      <c r="H67" t="s" s="8">
        <v>8</v>
      </c>
      <c r="I67" s="26">
        <v>1100</v>
      </c>
      <c r="J67" t="s" s="8">
        <v>8</v>
      </c>
      <c r="K67" s="27"/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7"/>
      <c r="Z67" t="s" s="243">
        <v>8</v>
      </c>
      <c r="AA67" s="27"/>
      <c r="AB67" t="s" s="243">
        <v>8</v>
      </c>
      <c r="AC67" s="27"/>
      <c r="AD67" s="117" cm="1">
        <f t="array" ref="AD67">G67+I67+K67+M67+O67+Q67+S67+U67+W67+Y67+AA67+AC67</f>
        <v>2200</v>
      </c>
      <c r="AE67" s="50" cm="1">
        <f t="array" ref="AE67">1000*12</f>
        <v>12000</v>
      </c>
      <c r="AF67" s="51" cm="1">
        <f t="array" ref="AF67">AE67-AD67</f>
        <v>9800</v>
      </c>
    </row>
    <row r="68" ht="13.55" customHeight="1">
      <c r="A68" s="255"/>
      <c r="B68" s="9"/>
      <c r="C68" t="s" s="8">
        <v>9</v>
      </c>
      <c r="D68" s="25">
        <v>1000</v>
      </c>
      <c r="E68" s="9"/>
      <c r="F68" t="s" s="8">
        <v>10</v>
      </c>
      <c r="G68" t="s" s="33">
        <v>39</v>
      </c>
      <c r="H68" t="s" s="8">
        <v>10</v>
      </c>
      <c r="I68" t="s" s="33">
        <v>24</v>
      </c>
      <c r="J68" t="s" s="8">
        <v>10</v>
      </c>
      <c r="K68" s="34"/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s="34"/>
      <c r="Z68" t="s" s="243">
        <v>10</v>
      </c>
      <c r="AA68" s="34"/>
      <c r="AB68" t="s" s="243">
        <v>10</v>
      </c>
      <c r="AC68" s="34"/>
      <c r="AD68" s="32"/>
      <c r="AE68" s="13"/>
      <c r="AF68" s="7"/>
    </row>
    <row r="69" ht="13.75" customHeight="1">
      <c r="A69" s="255"/>
      <c r="B69" t="s" s="8">
        <v>457</v>
      </c>
      <c r="C69" s="9"/>
      <c r="D69" s="9"/>
      <c r="E69" t="s" s="8">
        <v>14</v>
      </c>
      <c r="F69" t="s" s="8">
        <v>6</v>
      </c>
      <c r="G69" s="16">
        <v>2098</v>
      </c>
      <c r="H69" t="s" s="8">
        <v>6</v>
      </c>
      <c r="I69" s="16">
        <v>2163</v>
      </c>
      <c r="J69" t="s" s="8">
        <v>6</v>
      </c>
      <c r="K69" s="18"/>
      <c r="L69" t="s" s="8">
        <v>6</v>
      </c>
      <c r="M69" s="18"/>
      <c r="N69" t="s" s="8">
        <v>6</v>
      </c>
      <c r="O69" s="18"/>
      <c r="P69" t="s" s="8">
        <v>6</v>
      </c>
      <c r="Q69" s="18"/>
      <c r="R69" t="s" s="8">
        <v>6</v>
      </c>
      <c r="S69" s="18"/>
      <c r="T69" t="s" s="8">
        <v>6</v>
      </c>
      <c r="U69" s="18"/>
      <c r="V69" t="s" s="8">
        <v>6</v>
      </c>
      <c r="W69" s="18"/>
      <c r="X69" t="s" s="8">
        <v>6</v>
      </c>
      <c r="Y69" s="18"/>
      <c r="Z69" t="s" s="243">
        <v>6</v>
      </c>
      <c r="AA69" s="18"/>
      <c r="AB69" t="s" s="243">
        <v>6</v>
      </c>
      <c r="AC69" s="18"/>
      <c r="AD69" s="32"/>
      <c r="AE69" s="13"/>
      <c r="AF69" s="7"/>
    </row>
    <row r="70" ht="13.55" customHeight="1">
      <c r="A70" s="255"/>
      <c r="B70" t="s" s="8">
        <v>458</v>
      </c>
      <c r="C70" s="9"/>
      <c r="D70" s="9"/>
      <c r="E70" s="9"/>
      <c r="F70" t="s" s="8">
        <v>8</v>
      </c>
      <c r="G70" s="26">
        <v>600</v>
      </c>
      <c r="H70" t="s" s="8">
        <v>8</v>
      </c>
      <c r="I70" s="26" cm="1">
        <f t="array" ref="I70">300+300</f>
        <v>600</v>
      </c>
      <c r="J70" t="s" s="8">
        <v>8</v>
      </c>
      <c r="K70" s="27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8">
        <v>8</v>
      </c>
      <c r="Y70" s="27"/>
      <c r="Z70" t="s" s="243">
        <v>8</v>
      </c>
      <c r="AA70" s="27"/>
      <c r="AB70" t="s" s="243">
        <v>8</v>
      </c>
      <c r="AC70" s="27"/>
      <c r="AD70" s="117" cm="1">
        <f t="array" ref="AD70">G70+I70+K70+M70+O70+Q70+S70+U70+W70+Y70+AA70+AC70</f>
        <v>1200</v>
      </c>
      <c r="AE70" s="50" cm="1">
        <f t="array" ref="AE70">500*11</f>
        <v>5500</v>
      </c>
      <c r="AF70" s="51" cm="1">
        <f t="array" ref="AF70">AE70-AD70</f>
        <v>4300</v>
      </c>
    </row>
    <row r="71" ht="13.55" customHeight="1">
      <c r="A71" s="255"/>
      <c r="B71" s="23"/>
      <c r="C71" s="9"/>
      <c r="D71" s="9"/>
      <c r="E71" s="9"/>
      <c r="F71" t="s" s="8">
        <v>10</v>
      </c>
      <c r="G71" t="s" s="33">
        <v>39</v>
      </c>
      <c r="H71" t="s" s="8">
        <v>10</v>
      </c>
      <c r="I71" t="s" s="33">
        <v>24</v>
      </c>
      <c r="J71" t="s" s="8">
        <v>10</v>
      </c>
      <c r="K71" s="34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8">
        <v>10</v>
      </c>
      <c r="Y71" s="34"/>
      <c r="Z71" t="s" s="243">
        <v>10</v>
      </c>
      <c r="AA71" s="34"/>
      <c r="AB71" t="s" s="243">
        <v>10</v>
      </c>
      <c r="AC71" s="34"/>
      <c r="AD71" s="32"/>
      <c r="AE71" s="13"/>
      <c r="AF71" s="7"/>
    </row>
    <row r="72" ht="13.55" customHeight="1">
      <c r="A72" s="253"/>
      <c r="B72" s="9"/>
      <c r="C72" s="9"/>
      <c r="D72" s="9"/>
      <c r="E72" s="9"/>
      <c r="F72" s="9"/>
      <c r="G72" s="27"/>
      <c r="H72" s="9"/>
      <c r="I72" s="27"/>
      <c r="J72" s="9"/>
      <c r="K72" s="2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253"/>
      <c r="Z72" s="253"/>
      <c r="AA72" s="253"/>
      <c r="AB72" s="253"/>
      <c r="AC72" s="253"/>
      <c r="AD72" s="32"/>
      <c r="AE72" s="13"/>
      <c r="AF72" s="7"/>
    </row>
    <row r="73" ht="13.75" customHeight="1">
      <c r="A73" s="254">
        <v>11</v>
      </c>
      <c r="B73" t="s" s="130">
        <v>459</v>
      </c>
      <c r="C73" s="9"/>
      <c r="D73" s="9"/>
      <c r="E73" t="s" s="8">
        <v>5</v>
      </c>
      <c r="F73" t="s" s="8">
        <v>6</v>
      </c>
      <c r="G73" s="16">
        <v>3190</v>
      </c>
      <c r="H73" t="s" s="8">
        <v>6</v>
      </c>
      <c r="I73" s="16">
        <v>3190</v>
      </c>
      <c r="J73" t="s" s="8">
        <v>6</v>
      </c>
      <c r="K73" s="18"/>
      <c r="L73" t="s" s="8">
        <v>6</v>
      </c>
      <c r="M73" s="131"/>
      <c r="N73" t="s" s="8">
        <v>6</v>
      </c>
      <c r="O73" s="131"/>
      <c r="P73" t="s" s="8">
        <v>6</v>
      </c>
      <c r="Q73" s="131"/>
      <c r="R73" t="s" s="8">
        <v>6</v>
      </c>
      <c r="S73" s="131"/>
      <c r="T73" t="s" s="8">
        <v>6</v>
      </c>
      <c r="U73" s="131"/>
      <c r="V73" t="s" s="8">
        <v>6</v>
      </c>
      <c r="W73" s="131"/>
      <c r="X73" t="s" s="8">
        <v>6</v>
      </c>
      <c r="Y73" s="131"/>
      <c r="Z73" t="s" s="243">
        <v>6</v>
      </c>
      <c r="AA73" s="131"/>
      <c r="AB73" t="s" s="243">
        <v>6</v>
      </c>
      <c r="AC73" s="131"/>
      <c r="AD73" s="32"/>
      <c r="AE73" s="13"/>
      <c r="AF73" s="7"/>
    </row>
    <row r="74" ht="13.55" customHeight="1">
      <c r="A74" s="255"/>
      <c r="B74" s="170"/>
      <c r="C74" s="9"/>
      <c r="D74" s="9"/>
      <c r="E74" s="9"/>
      <c r="F74" t="s" s="8">
        <v>8</v>
      </c>
      <c r="G74" s="26">
        <v>1100</v>
      </c>
      <c r="H74" t="s" s="8">
        <v>8</v>
      </c>
      <c r="I74" s="26">
        <v>1100</v>
      </c>
      <c r="J74" t="s" s="8">
        <v>8</v>
      </c>
      <c r="K74" s="27"/>
      <c r="L74" t="s" s="8">
        <v>8</v>
      </c>
      <c r="M74" s="27"/>
      <c r="N74" t="s" s="8">
        <v>8</v>
      </c>
      <c r="O74" s="27"/>
      <c r="P74" t="s" s="8">
        <v>8</v>
      </c>
      <c r="Q74" s="27"/>
      <c r="R74" t="s" s="8">
        <v>8</v>
      </c>
      <c r="S74" s="27"/>
      <c r="T74" t="s" s="8">
        <v>8</v>
      </c>
      <c r="U74" s="27"/>
      <c r="V74" t="s" s="8">
        <v>8</v>
      </c>
      <c r="W74" s="27"/>
      <c r="X74" t="s" s="8">
        <v>8</v>
      </c>
      <c r="Y74" s="27"/>
      <c r="Z74" t="s" s="243">
        <v>8</v>
      </c>
      <c r="AA74" s="27"/>
      <c r="AB74" t="s" s="243">
        <v>8</v>
      </c>
      <c r="AC74" s="27"/>
      <c r="AD74" s="117" cm="1">
        <f t="array" ref="AD74">G74+I74+K74+M74+O74+Q74+S74+U74+W74+Y74+AA74+AC74</f>
        <v>2200</v>
      </c>
      <c r="AE74" s="50" cm="1">
        <f t="array" ref="AE74">1000*12</f>
        <v>12000</v>
      </c>
      <c r="AF74" s="51" cm="1">
        <f t="array" ref="AF74">AE74-AD74</f>
        <v>9800</v>
      </c>
    </row>
    <row r="75" ht="13.55" customHeight="1">
      <c r="A75" s="255"/>
      <c r="B75" s="9"/>
      <c r="C75" t="s" s="8">
        <v>9</v>
      </c>
      <c r="D75" s="25">
        <v>1000</v>
      </c>
      <c r="E75" s="9"/>
      <c r="F75" t="s" s="8">
        <v>10</v>
      </c>
      <c r="G75" t="s" s="33">
        <v>24</v>
      </c>
      <c r="H75" t="s" s="8">
        <v>10</v>
      </c>
      <c r="I75" t="s" s="33">
        <v>24</v>
      </c>
      <c r="J75" t="s" s="8">
        <v>10</v>
      </c>
      <c r="K75" s="34"/>
      <c r="L75" t="s" s="8">
        <v>10</v>
      </c>
      <c r="M75" s="34"/>
      <c r="N75" t="s" s="8">
        <v>10</v>
      </c>
      <c r="O75" s="34"/>
      <c r="P75" t="s" s="8">
        <v>10</v>
      </c>
      <c r="Q75" s="34"/>
      <c r="R75" t="s" s="8">
        <v>10</v>
      </c>
      <c r="S75" s="34"/>
      <c r="T75" t="s" s="8">
        <v>10</v>
      </c>
      <c r="U75" s="34"/>
      <c r="V75" t="s" s="8">
        <v>10</v>
      </c>
      <c r="W75" s="34"/>
      <c r="X75" t="s" s="8">
        <v>10</v>
      </c>
      <c r="Y75" s="34"/>
      <c r="Z75" t="s" s="243">
        <v>10</v>
      </c>
      <c r="AA75" s="34"/>
      <c r="AB75" t="s" s="243">
        <v>10</v>
      </c>
      <c r="AC75" s="34"/>
      <c r="AD75" s="32"/>
      <c r="AE75" s="13"/>
      <c r="AF75" s="7"/>
    </row>
    <row r="76" ht="13.75" customHeight="1">
      <c r="A76" s="255"/>
      <c r="B76" t="s" s="8">
        <v>308</v>
      </c>
      <c r="C76" s="9"/>
      <c r="D76" s="9"/>
      <c r="E76" t="s" s="8">
        <v>14</v>
      </c>
      <c r="F76" t="s" s="8">
        <v>6</v>
      </c>
      <c r="G76" s="18"/>
      <c r="H76" t="s" s="8">
        <v>6</v>
      </c>
      <c r="I76" s="18"/>
      <c r="J76" t="s" s="8">
        <v>6</v>
      </c>
      <c r="K76" s="40"/>
      <c r="L76" t="s" s="8">
        <v>6</v>
      </c>
      <c r="M76" s="131"/>
      <c r="N76" t="s" s="8">
        <v>6</v>
      </c>
      <c r="O76" s="131"/>
      <c r="P76" t="s" s="8">
        <v>6</v>
      </c>
      <c r="Q76" s="131"/>
      <c r="R76" t="s" s="8">
        <v>6</v>
      </c>
      <c r="S76" s="131"/>
      <c r="T76" t="s" s="8">
        <v>6</v>
      </c>
      <c r="U76" s="131"/>
      <c r="V76" t="s" s="8">
        <v>6</v>
      </c>
      <c r="W76" s="131"/>
      <c r="X76" t="s" s="8">
        <v>6</v>
      </c>
      <c r="Y76" s="131"/>
      <c r="Z76" t="s" s="243">
        <v>6</v>
      </c>
      <c r="AA76" s="131"/>
      <c r="AB76" t="s" s="243">
        <v>6</v>
      </c>
      <c r="AC76" s="131"/>
      <c r="AD76" s="32"/>
      <c r="AE76" s="13"/>
      <c r="AF76" s="7"/>
    </row>
    <row r="77" ht="13.55" customHeight="1">
      <c r="A77" s="255"/>
      <c r="B77" t="s" s="8">
        <v>460</v>
      </c>
      <c r="C77" s="9"/>
      <c r="D77" s="9"/>
      <c r="E77" s="9"/>
      <c r="F77" t="s" s="8">
        <v>8</v>
      </c>
      <c r="G77" s="27"/>
      <c r="H77" t="s" s="8">
        <v>8</v>
      </c>
      <c r="I77" s="27"/>
      <c r="J77" t="s" s="8">
        <v>8</v>
      </c>
      <c r="K77" s="41"/>
      <c r="L77" t="s" s="8">
        <v>8</v>
      </c>
      <c r="M77" s="27"/>
      <c r="N77" t="s" s="8">
        <v>8</v>
      </c>
      <c r="O77" s="27"/>
      <c r="P77" t="s" s="8">
        <v>8</v>
      </c>
      <c r="Q77" s="27"/>
      <c r="R77" t="s" s="8">
        <v>8</v>
      </c>
      <c r="S77" s="27"/>
      <c r="T77" t="s" s="8">
        <v>8</v>
      </c>
      <c r="U77" s="27"/>
      <c r="V77" t="s" s="8">
        <v>8</v>
      </c>
      <c r="W77" s="27"/>
      <c r="X77" t="s" s="8">
        <v>8</v>
      </c>
      <c r="Y77" s="27"/>
      <c r="Z77" t="s" s="243">
        <v>8</v>
      </c>
      <c r="AA77" s="27"/>
      <c r="AB77" t="s" s="243">
        <v>8</v>
      </c>
      <c r="AC77" s="27"/>
      <c r="AD77" s="32" cm="1">
        <f t="array" ref="AD77">G77+I77+K77+M77+O77+Q77+S77+U77+W77+Y77+AA77+AC77</f>
      </c>
      <c r="AE77" s="50" cm="1">
        <f t="array" ref="AE77">500*11</f>
        <v>5500</v>
      </c>
      <c r="AF77" s="7" cm="1">
        <f t="array" ref="AF77">AE77-AD77</f>
      </c>
    </row>
    <row r="78" ht="13.55" customHeight="1">
      <c r="A78" s="255"/>
      <c r="B78" s="23"/>
      <c r="C78" s="9"/>
      <c r="D78" s="9"/>
      <c r="E78" s="9"/>
      <c r="F78" t="s" s="8">
        <v>10</v>
      </c>
      <c r="G78" s="34"/>
      <c r="H78" t="s" s="8">
        <v>10</v>
      </c>
      <c r="I78" s="34"/>
      <c r="J78" t="s" s="8">
        <v>10</v>
      </c>
      <c r="K78" s="45"/>
      <c r="L78" t="s" s="8">
        <v>10</v>
      </c>
      <c r="M78" s="34"/>
      <c r="N78" t="s" s="8">
        <v>10</v>
      </c>
      <c r="O78" s="34"/>
      <c r="P78" t="s" s="8">
        <v>10</v>
      </c>
      <c r="Q78" s="34"/>
      <c r="R78" t="s" s="8">
        <v>10</v>
      </c>
      <c r="S78" s="34"/>
      <c r="T78" t="s" s="8">
        <v>10</v>
      </c>
      <c r="U78" s="34"/>
      <c r="V78" t="s" s="8">
        <v>10</v>
      </c>
      <c r="W78" s="34"/>
      <c r="X78" t="s" s="8">
        <v>10</v>
      </c>
      <c r="Y78" s="34"/>
      <c r="Z78" t="s" s="243">
        <v>10</v>
      </c>
      <c r="AA78" s="34"/>
      <c r="AB78" t="s" s="243">
        <v>10</v>
      </c>
      <c r="AC78" s="34"/>
      <c r="AD78" s="32"/>
      <c r="AE78" s="13"/>
      <c r="AF78" s="7"/>
    </row>
    <row r="79" ht="13.55" customHeight="1">
      <c r="A79" s="253"/>
      <c r="B79" s="9"/>
      <c r="C79" s="9"/>
      <c r="D79" s="9"/>
      <c r="E79" s="9"/>
      <c r="F79" s="9"/>
      <c r="G79" s="27"/>
      <c r="H79" s="9"/>
      <c r="I79" s="27"/>
      <c r="J79" s="9"/>
      <c r="K79" s="2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253"/>
      <c r="Z79" s="253"/>
      <c r="AA79" s="253"/>
      <c r="AB79" s="253"/>
      <c r="AC79" s="253"/>
      <c r="AD79" s="32"/>
      <c r="AE79" s="13"/>
      <c r="AF79" s="7"/>
    </row>
    <row r="80" ht="13.75" customHeight="1">
      <c r="A80" s="154">
        <v>12</v>
      </c>
      <c r="B80" t="s" s="130">
        <v>461</v>
      </c>
      <c r="C80" s="9"/>
      <c r="D80" s="9"/>
      <c r="E80" t="s" s="8">
        <v>5</v>
      </c>
      <c r="F80" t="s" s="8">
        <v>6</v>
      </c>
      <c r="G80" s="16">
        <v>1122</v>
      </c>
      <c r="H80" t="s" s="8">
        <v>6</v>
      </c>
      <c r="I80" s="18"/>
      <c r="J80" t="s" s="8">
        <v>6</v>
      </c>
      <c r="K80" s="18"/>
      <c r="L80" t="s" s="8">
        <v>6</v>
      </c>
      <c r="M80" s="18"/>
      <c r="N80" t="s" s="8">
        <v>6</v>
      </c>
      <c r="O80" s="18"/>
      <c r="P80" t="s" s="8">
        <v>6</v>
      </c>
      <c r="Q80" s="18"/>
      <c r="R80" t="s" s="8">
        <v>6</v>
      </c>
      <c r="S80" s="18"/>
      <c r="T80" t="s" s="8">
        <v>6</v>
      </c>
      <c r="U80" s="18"/>
      <c r="V80" t="s" s="8">
        <v>6</v>
      </c>
      <c r="W80" s="18"/>
      <c r="X80" t="s" s="8">
        <v>6</v>
      </c>
      <c r="Y80" s="18"/>
      <c r="Z80" t="s" s="243">
        <v>6</v>
      </c>
      <c r="AA80" s="18"/>
      <c r="AB80" t="s" s="243">
        <v>6</v>
      </c>
      <c r="AC80" s="18"/>
      <c r="AD80" s="32"/>
      <c r="AE80" s="13"/>
      <c r="AF80" s="7"/>
    </row>
    <row r="81" ht="13.55" customHeight="1">
      <c r="A81" s="155"/>
      <c r="B81" s="9"/>
      <c r="C81" s="9"/>
      <c r="D81" s="9"/>
      <c r="E81" s="9"/>
      <c r="F81" t="s" s="8">
        <v>8</v>
      </c>
      <c r="G81" s="26">
        <v>1100</v>
      </c>
      <c r="H81" t="s" s="8">
        <v>8</v>
      </c>
      <c r="I81" s="27"/>
      <c r="J81" t="s" s="8">
        <v>8</v>
      </c>
      <c r="K81" s="27"/>
      <c r="L81" t="s" s="8">
        <v>8</v>
      </c>
      <c r="M81" s="27"/>
      <c r="N81" t="s" s="8">
        <v>8</v>
      </c>
      <c r="O81" s="27"/>
      <c r="P81" t="s" s="8">
        <v>8</v>
      </c>
      <c r="Q81" s="27"/>
      <c r="R81" t="s" s="8">
        <v>8</v>
      </c>
      <c r="S81" s="27"/>
      <c r="T81" t="s" s="8">
        <v>8</v>
      </c>
      <c r="U81" s="27"/>
      <c r="V81" t="s" s="8">
        <v>8</v>
      </c>
      <c r="W81" s="27"/>
      <c r="X81" t="s" s="8">
        <v>8</v>
      </c>
      <c r="Y81" s="27"/>
      <c r="Z81" t="s" s="243">
        <v>8</v>
      </c>
      <c r="AA81" s="27"/>
      <c r="AB81" t="s" s="243">
        <v>8</v>
      </c>
      <c r="AC81" s="27"/>
      <c r="AD81" s="117" cm="1">
        <f t="array" ref="AD81">G81+I81+K81+M81+O81+Q81+S81+U81+W81+Y81+AA81+AC81</f>
        <v>1100</v>
      </c>
      <c r="AE81" s="50" cm="1">
        <f t="array" ref="AE81">1000*12</f>
        <v>12000</v>
      </c>
      <c r="AF81" s="51" cm="1">
        <f t="array" ref="AF81">AE81-AD81</f>
        <v>10900</v>
      </c>
    </row>
    <row r="82" ht="13.55" customHeight="1">
      <c r="A82" s="155"/>
      <c r="B82" s="9"/>
      <c r="C82" t="s" s="8">
        <v>9</v>
      </c>
      <c r="D82" s="25">
        <v>1000</v>
      </c>
      <c r="E82" s="9"/>
      <c r="F82" t="s" s="8">
        <v>10</v>
      </c>
      <c r="G82" t="s" s="33">
        <v>93</v>
      </c>
      <c r="H82" t="s" s="8">
        <v>10</v>
      </c>
      <c r="I82" s="34"/>
      <c r="J82" t="s" s="8">
        <v>10</v>
      </c>
      <c r="K82" s="34"/>
      <c r="L82" t="s" s="8">
        <v>10</v>
      </c>
      <c r="M82" s="34"/>
      <c r="N82" t="s" s="8">
        <v>10</v>
      </c>
      <c r="O82" s="34"/>
      <c r="P82" t="s" s="8">
        <v>10</v>
      </c>
      <c r="Q82" s="34"/>
      <c r="R82" t="s" s="8">
        <v>10</v>
      </c>
      <c r="S82" s="34"/>
      <c r="T82" t="s" s="8">
        <v>10</v>
      </c>
      <c r="U82" s="34"/>
      <c r="V82" t="s" s="8">
        <v>10</v>
      </c>
      <c r="W82" s="34"/>
      <c r="X82" t="s" s="8">
        <v>10</v>
      </c>
      <c r="Y82" s="34"/>
      <c r="Z82" t="s" s="243">
        <v>10</v>
      </c>
      <c r="AA82" s="34"/>
      <c r="AB82" t="s" s="243">
        <v>10</v>
      </c>
      <c r="AC82" s="34"/>
      <c r="AD82" s="32"/>
      <c r="AE82" s="13"/>
      <c r="AF82" s="7"/>
    </row>
    <row r="83" ht="13.75" customHeight="1">
      <c r="A83" s="155"/>
      <c r="B83" t="s" s="8">
        <v>462</v>
      </c>
      <c r="C83" s="9"/>
      <c r="D83" s="9"/>
      <c r="E83" t="s" s="8">
        <v>14</v>
      </c>
      <c r="F83" t="s" s="8">
        <v>6</v>
      </c>
      <c r="G83" s="16">
        <v>2047</v>
      </c>
      <c r="H83" t="s" s="8">
        <v>6</v>
      </c>
      <c r="I83" s="16">
        <v>2193</v>
      </c>
      <c r="J83" t="s" s="8">
        <v>6</v>
      </c>
      <c r="K83" s="40"/>
      <c r="L83" t="s" s="8">
        <v>6</v>
      </c>
      <c r="M83" s="18"/>
      <c r="N83" t="s" s="8">
        <v>6</v>
      </c>
      <c r="O83" s="18"/>
      <c r="P83" t="s" s="8">
        <v>6</v>
      </c>
      <c r="Q83" s="18"/>
      <c r="R83" t="s" s="8">
        <v>6</v>
      </c>
      <c r="S83" s="18"/>
      <c r="T83" t="s" s="8">
        <v>6</v>
      </c>
      <c r="U83" s="18"/>
      <c r="V83" t="s" s="8">
        <v>6</v>
      </c>
      <c r="W83" s="18"/>
      <c r="X83" t="s" s="8">
        <v>6</v>
      </c>
      <c r="Y83" s="18"/>
      <c r="Z83" t="s" s="243">
        <v>6</v>
      </c>
      <c r="AA83" s="18"/>
      <c r="AB83" t="s" s="243">
        <v>6</v>
      </c>
      <c r="AC83" s="18"/>
      <c r="AD83" s="32"/>
      <c r="AE83" s="13"/>
      <c r="AF83" s="7"/>
    </row>
    <row r="84" ht="13.55" customHeight="1">
      <c r="A84" s="155"/>
      <c r="B84" t="s" s="8">
        <v>463</v>
      </c>
      <c r="C84" s="9"/>
      <c r="D84" s="9"/>
      <c r="E84" s="9"/>
      <c r="F84" t="s" s="8">
        <v>8</v>
      </c>
      <c r="G84" s="26">
        <v>800</v>
      </c>
      <c r="H84" t="s" s="8">
        <v>8</v>
      </c>
      <c r="I84" s="26">
        <v>800</v>
      </c>
      <c r="J84" t="s" s="8">
        <v>8</v>
      </c>
      <c r="K84" s="41"/>
      <c r="L84" t="s" s="8">
        <v>8</v>
      </c>
      <c r="M84" s="27"/>
      <c r="N84" t="s" s="8">
        <v>8</v>
      </c>
      <c r="O84" s="27"/>
      <c r="P84" t="s" s="8">
        <v>8</v>
      </c>
      <c r="Q84" s="27"/>
      <c r="R84" t="s" s="8">
        <v>8</v>
      </c>
      <c r="S84" s="27"/>
      <c r="T84" t="s" s="8">
        <v>8</v>
      </c>
      <c r="U84" s="27"/>
      <c r="V84" t="s" s="8">
        <v>8</v>
      </c>
      <c r="W84" s="27"/>
      <c r="X84" t="s" s="8">
        <v>8</v>
      </c>
      <c r="Y84" s="27"/>
      <c r="Z84" t="s" s="243">
        <v>8</v>
      </c>
      <c r="AA84" s="27"/>
      <c r="AB84" t="s" s="243">
        <v>8</v>
      </c>
      <c r="AC84" s="27"/>
      <c r="AD84" s="32" cm="1">
        <f t="array" ref="AD84">G84+I84+K84+M84+O84+Q84+S84+U84+W84+Y84+AA84+AC84</f>
      </c>
      <c r="AE84" s="50" cm="1">
        <f t="array" ref="AE84">700*11</f>
        <v>7700</v>
      </c>
      <c r="AF84" s="7" cm="1">
        <f t="array" ref="AF84">AE84-AD84</f>
      </c>
    </row>
    <row r="85" ht="13.55" customHeight="1">
      <c r="A85" s="155"/>
      <c r="B85" s="23"/>
      <c r="C85" s="9"/>
      <c r="D85" s="9"/>
      <c r="E85" s="9"/>
      <c r="F85" t="s" s="8">
        <v>10</v>
      </c>
      <c r="G85" t="s" s="33">
        <v>93</v>
      </c>
      <c r="H85" t="s" s="8">
        <v>10</v>
      </c>
      <c r="I85" t="s" s="33">
        <v>420</v>
      </c>
      <c r="J85" t="s" s="8">
        <v>10</v>
      </c>
      <c r="K85" s="45"/>
      <c r="L85" t="s" s="8">
        <v>10</v>
      </c>
      <c r="M85" s="34"/>
      <c r="N85" t="s" s="8">
        <v>10</v>
      </c>
      <c r="O85" s="34"/>
      <c r="P85" t="s" s="8">
        <v>10</v>
      </c>
      <c r="Q85" s="34"/>
      <c r="R85" t="s" s="8">
        <v>10</v>
      </c>
      <c r="S85" s="34"/>
      <c r="T85" t="s" s="8">
        <v>10</v>
      </c>
      <c r="U85" s="34"/>
      <c r="V85" t="s" s="8">
        <v>10</v>
      </c>
      <c r="W85" s="34"/>
      <c r="X85" t="s" s="8">
        <v>10</v>
      </c>
      <c r="Y85" s="34"/>
      <c r="Z85" t="s" s="243">
        <v>10</v>
      </c>
      <c r="AA85" s="34"/>
      <c r="AB85" t="s" s="243">
        <v>10</v>
      </c>
      <c r="AC85" s="34"/>
      <c r="AD85" s="32"/>
      <c r="AE85" s="13"/>
      <c r="AF85" s="7"/>
    </row>
    <row r="86" ht="13.55" customHeight="1">
      <c r="A86" s="23"/>
      <c r="B86" s="9"/>
      <c r="C86" s="9"/>
      <c r="D86" s="9"/>
      <c r="E86" s="9"/>
      <c r="F86" s="9"/>
      <c r="G86" s="27"/>
      <c r="H86" s="9"/>
      <c r="I86" s="27"/>
      <c r="J86" s="9"/>
      <c r="K86" s="2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253"/>
      <c r="Z86" s="253"/>
      <c r="AA86" s="253"/>
      <c r="AB86" s="253"/>
      <c r="AC86" s="253"/>
      <c r="AD86" s="32"/>
      <c r="AE86" s="13"/>
      <c r="AF86" s="7"/>
    </row>
    <row r="87" ht="13.75" customHeight="1">
      <c r="A87" s="154">
        <v>13</v>
      </c>
      <c r="B87" t="s" s="130">
        <v>464</v>
      </c>
      <c r="C87" s="9"/>
      <c r="D87" s="9"/>
      <c r="E87" t="s" s="8">
        <v>5</v>
      </c>
      <c r="F87" t="s" s="8">
        <v>6</v>
      </c>
      <c r="G87" s="16">
        <v>1219</v>
      </c>
      <c r="H87" t="s" s="8">
        <v>6</v>
      </c>
      <c r="I87" s="16">
        <v>3240</v>
      </c>
      <c r="J87" t="s" s="8">
        <v>6</v>
      </c>
      <c r="K87" s="16">
        <v>3240</v>
      </c>
      <c r="L87" t="s" s="8">
        <v>6</v>
      </c>
      <c r="M87" s="18"/>
      <c r="N87" t="s" s="8">
        <v>6</v>
      </c>
      <c r="O87" s="18"/>
      <c r="P87" t="s" s="8">
        <v>6</v>
      </c>
      <c r="Q87" s="18"/>
      <c r="R87" t="s" s="8">
        <v>6</v>
      </c>
      <c r="S87" s="18"/>
      <c r="T87" t="s" s="8">
        <v>6</v>
      </c>
      <c r="U87" s="18"/>
      <c r="V87" t="s" s="8">
        <v>6</v>
      </c>
      <c r="W87" s="18"/>
      <c r="X87" t="s" s="8">
        <v>6</v>
      </c>
      <c r="Y87" s="18"/>
      <c r="Z87" t="s" s="243">
        <v>6</v>
      </c>
      <c r="AA87" s="18"/>
      <c r="AB87" t="s" s="243">
        <v>6</v>
      </c>
      <c r="AC87" s="18"/>
      <c r="AD87" s="32"/>
      <c r="AE87" s="13"/>
      <c r="AF87" s="7"/>
    </row>
    <row r="88" ht="13.55" customHeight="1">
      <c r="A88" s="155"/>
      <c r="B88" s="9"/>
      <c r="C88" s="9"/>
      <c r="D88" s="9"/>
      <c r="E88" s="9"/>
      <c r="F88" t="s" s="8">
        <v>8</v>
      </c>
      <c r="G88" s="26">
        <v>1100</v>
      </c>
      <c r="H88" t="s" s="8">
        <v>8</v>
      </c>
      <c r="I88" s="26">
        <v>1100</v>
      </c>
      <c r="J88" t="s" s="8">
        <v>8</v>
      </c>
      <c r="K88" s="26">
        <v>1100</v>
      </c>
      <c r="L88" t="s" s="8">
        <v>8</v>
      </c>
      <c r="M88" s="27"/>
      <c r="N88" t="s" s="8">
        <v>8</v>
      </c>
      <c r="O88" s="27"/>
      <c r="P88" t="s" s="8">
        <v>8</v>
      </c>
      <c r="Q88" s="27"/>
      <c r="R88" t="s" s="8">
        <v>8</v>
      </c>
      <c r="S88" s="27"/>
      <c r="T88" t="s" s="8">
        <v>8</v>
      </c>
      <c r="U88" s="27"/>
      <c r="V88" t="s" s="8">
        <v>8</v>
      </c>
      <c r="W88" s="27"/>
      <c r="X88" t="s" s="8">
        <v>8</v>
      </c>
      <c r="Y88" s="27"/>
      <c r="Z88" t="s" s="243">
        <v>8</v>
      </c>
      <c r="AA88" s="27"/>
      <c r="AB88" t="s" s="243">
        <v>8</v>
      </c>
      <c r="AC88" s="27"/>
      <c r="AD88" s="117" cm="1">
        <f t="array" ref="AD88">G88+I88+K88+M88+O88+Q88+S88+U88+W88+Y88+AA88+AC88</f>
        <v>3300</v>
      </c>
      <c r="AE88" s="50" cm="1">
        <f t="array" ref="AE88">1000*12</f>
        <v>12000</v>
      </c>
      <c r="AF88" s="51" cm="1">
        <f t="array" ref="AF88">AE88-AD88</f>
        <v>8700</v>
      </c>
    </row>
    <row r="89" ht="13.55" customHeight="1">
      <c r="A89" s="155"/>
      <c r="B89" s="9"/>
      <c r="C89" t="s" s="8">
        <v>9</v>
      </c>
      <c r="D89" s="25">
        <v>1000</v>
      </c>
      <c r="E89" s="9"/>
      <c r="F89" t="s" s="8">
        <v>10</v>
      </c>
      <c r="G89" t="s" s="33">
        <v>196</v>
      </c>
      <c r="H89" t="s" s="8">
        <v>10</v>
      </c>
      <c r="I89" t="s" s="33">
        <v>64</v>
      </c>
      <c r="J89" t="s" s="8">
        <v>10</v>
      </c>
      <c r="K89" t="s" s="33">
        <v>64</v>
      </c>
      <c r="L89" t="s" s="8">
        <v>10</v>
      </c>
      <c r="M89" s="34"/>
      <c r="N89" t="s" s="8">
        <v>10</v>
      </c>
      <c r="O89" s="34"/>
      <c r="P89" t="s" s="8">
        <v>10</v>
      </c>
      <c r="Q89" s="34"/>
      <c r="R89" t="s" s="8">
        <v>10</v>
      </c>
      <c r="S89" s="34"/>
      <c r="T89" t="s" s="8">
        <v>10</v>
      </c>
      <c r="U89" s="34"/>
      <c r="V89" t="s" s="8">
        <v>10</v>
      </c>
      <c r="W89" s="34"/>
      <c r="X89" t="s" s="8">
        <v>10</v>
      </c>
      <c r="Y89" s="34"/>
      <c r="Z89" t="s" s="243">
        <v>10</v>
      </c>
      <c r="AA89" s="34"/>
      <c r="AB89" t="s" s="243">
        <v>10</v>
      </c>
      <c r="AC89" s="34"/>
      <c r="AD89" s="32"/>
      <c r="AE89" s="13"/>
      <c r="AF89" s="7"/>
    </row>
    <row r="90" ht="13.75" customHeight="1">
      <c r="A90" s="155"/>
      <c r="B90" t="s" s="8">
        <v>465</v>
      </c>
      <c r="C90" s="9"/>
      <c r="D90" s="9"/>
      <c r="E90" t="s" s="8">
        <v>14</v>
      </c>
      <c r="F90" t="s" s="8">
        <v>6</v>
      </c>
      <c r="G90" s="16">
        <v>2124</v>
      </c>
      <c r="H90" t="s" s="8">
        <v>6</v>
      </c>
      <c r="I90" s="16">
        <v>2206</v>
      </c>
      <c r="J90" t="s" s="8">
        <v>6</v>
      </c>
      <c r="K90" s="40"/>
      <c r="L90" t="s" s="8">
        <v>6</v>
      </c>
      <c r="M90" s="18"/>
      <c r="N90" t="s" s="8">
        <v>6</v>
      </c>
      <c r="O90" s="18"/>
      <c r="P90" t="s" s="8">
        <v>6</v>
      </c>
      <c r="Q90" s="18"/>
      <c r="R90" t="s" s="8">
        <v>6</v>
      </c>
      <c r="S90" s="18"/>
      <c r="T90" t="s" s="8">
        <v>6</v>
      </c>
      <c r="U90" s="18"/>
      <c r="V90" t="s" s="8">
        <v>6</v>
      </c>
      <c r="W90" s="18"/>
      <c r="X90" t="s" s="8">
        <v>6</v>
      </c>
      <c r="Y90" s="18"/>
      <c r="Z90" t="s" s="243">
        <v>6</v>
      </c>
      <c r="AA90" s="18"/>
      <c r="AB90" t="s" s="243">
        <v>6</v>
      </c>
      <c r="AC90" s="18"/>
      <c r="AD90" s="32"/>
      <c r="AE90" s="13"/>
      <c r="AF90" s="7"/>
    </row>
    <row r="91" ht="13.55" customHeight="1">
      <c r="A91" s="155"/>
      <c r="B91" t="s" s="8">
        <v>466</v>
      </c>
      <c r="C91" s="9"/>
      <c r="D91" s="9"/>
      <c r="E91" s="9"/>
      <c r="F91" t="s" s="8">
        <v>8</v>
      </c>
      <c r="G91" s="26">
        <v>600</v>
      </c>
      <c r="H91" t="s" s="8">
        <v>8</v>
      </c>
      <c r="I91" s="26">
        <v>600</v>
      </c>
      <c r="J91" t="s" s="8">
        <v>8</v>
      </c>
      <c r="K91" s="41"/>
      <c r="L91" t="s" s="8">
        <v>8</v>
      </c>
      <c r="M91" s="27"/>
      <c r="N91" t="s" s="8">
        <v>8</v>
      </c>
      <c r="O91" s="27"/>
      <c r="P91" t="s" s="8">
        <v>8</v>
      </c>
      <c r="Q91" s="27"/>
      <c r="R91" t="s" s="8">
        <v>8</v>
      </c>
      <c r="S91" s="27"/>
      <c r="T91" t="s" s="8">
        <v>8</v>
      </c>
      <c r="U91" s="27"/>
      <c r="V91" t="s" s="8">
        <v>8</v>
      </c>
      <c r="W91" s="27"/>
      <c r="X91" t="s" s="8">
        <v>8</v>
      </c>
      <c r="Y91" s="27"/>
      <c r="Z91" t="s" s="243">
        <v>8</v>
      </c>
      <c r="AA91" s="27"/>
      <c r="AB91" t="s" s="243">
        <v>8</v>
      </c>
      <c r="AC91" s="27"/>
      <c r="AD91" s="32" cm="1">
        <f t="array" ref="AD91">G91+I91+K91+M91+O91+Q91+S91+U91+W91+Y91+AA91+AC91</f>
      </c>
      <c r="AE91" s="50" cm="1">
        <f t="array" ref="AE91">500*11</f>
        <v>5500</v>
      </c>
      <c r="AF91" s="7" cm="1">
        <f t="array" ref="AF91">AE91-AD91</f>
      </c>
    </row>
    <row r="92" ht="13.55" customHeight="1">
      <c r="A92" s="155"/>
      <c r="B92" s="23"/>
      <c r="C92" s="9"/>
      <c r="D92" s="9"/>
      <c r="E92" s="9"/>
      <c r="F92" t="s" s="8">
        <v>10</v>
      </c>
      <c r="G92" t="s" s="33">
        <v>196</v>
      </c>
      <c r="H92" t="s" s="8">
        <v>10</v>
      </c>
      <c r="I92" t="s" s="33">
        <v>64</v>
      </c>
      <c r="J92" t="s" s="8">
        <v>10</v>
      </c>
      <c r="K92" s="45"/>
      <c r="L92" t="s" s="8">
        <v>10</v>
      </c>
      <c r="M92" s="34"/>
      <c r="N92" t="s" s="8">
        <v>10</v>
      </c>
      <c r="O92" s="34"/>
      <c r="P92" t="s" s="8">
        <v>10</v>
      </c>
      <c r="Q92" s="34"/>
      <c r="R92" t="s" s="8">
        <v>10</v>
      </c>
      <c r="S92" s="34"/>
      <c r="T92" t="s" s="8">
        <v>10</v>
      </c>
      <c r="U92" s="34"/>
      <c r="V92" t="s" s="8">
        <v>10</v>
      </c>
      <c r="W92" s="34"/>
      <c r="X92" t="s" s="8">
        <v>10</v>
      </c>
      <c r="Y92" s="34"/>
      <c r="Z92" t="s" s="243">
        <v>10</v>
      </c>
      <c r="AA92" s="34"/>
      <c r="AB92" t="s" s="243">
        <v>10</v>
      </c>
      <c r="AC92" s="34"/>
      <c r="AD92" s="32"/>
      <c r="AE92" s="13"/>
      <c r="AF92" s="7"/>
    </row>
    <row r="93" ht="13.55" customHeight="1">
      <c r="A93" s="23"/>
      <c r="B93" s="9"/>
      <c r="C93" s="9"/>
      <c r="D93" s="9"/>
      <c r="E93" s="9"/>
      <c r="F93" s="9"/>
      <c r="G93" s="27"/>
      <c r="H93" s="9"/>
      <c r="I93" s="27"/>
      <c r="J93" s="9"/>
      <c r="K93" s="2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253"/>
      <c r="Z93" s="253"/>
      <c r="AA93" s="253"/>
      <c r="AB93" s="253"/>
      <c r="AC93" s="253"/>
      <c r="AD93" s="32"/>
      <c r="AE93" s="13"/>
      <c r="AF93" s="7"/>
    </row>
    <row r="94" ht="13.75" customHeight="1">
      <c r="A94" s="154">
        <v>14</v>
      </c>
      <c r="B94" t="s" s="130">
        <v>467</v>
      </c>
      <c r="C94" s="9"/>
      <c r="D94" s="9"/>
      <c r="E94" t="s" s="8">
        <v>5</v>
      </c>
      <c r="F94" t="s" s="8">
        <v>6</v>
      </c>
      <c r="G94" s="16">
        <v>1221</v>
      </c>
      <c r="H94" t="s" s="8">
        <v>6</v>
      </c>
      <c r="I94" s="16">
        <v>3209</v>
      </c>
      <c r="J94" t="s" s="8">
        <v>6</v>
      </c>
      <c r="K94" s="18"/>
      <c r="L94" t="s" s="8">
        <v>6</v>
      </c>
      <c r="M94" s="18"/>
      <c r="N94" t="s" s="8">
        <v>6</v>
      </c>
      <c r="O94" s="18"/>
      <c r="P94" t="s" s="8">
        <v>6</v>
      </c>
      <c r="Q94" s="18"/>
      <c r="R94" t="s" s="8">
        <v>6</v>
      </c>
      <c r="S94" s="18"/>
      <c r="T94" t="s" s="8">
        <v>6</v>
      </c>
      <c r="U94" s="18"/>
      <c r="V94" t="s" s="8">
        <v>6</v>
      </c>
      <c r="W94" s="18"/>
      <c r="X94" t="s" s="8">
        <v>6</v>
      </c>
      <c r="Y94" s="18"/>
      <c r="Z94" t="s" s="243">
        <v>6</v>
      </c>
      <c r="AA94" s="18"/>
      <c r="AB94" t="s" s="243">
        <v>6</v>
      </c>
      <c r="AC94" s="18"/>
      <c r="AD94" s="32"/>
      <c r="AE94" s="13"/>
      <c r="AF94" s="7"/>
    </row>
    <row r="95" ht="13.55" customHeight="1">
      <c r="A95" s="155"/>
      <c r="B95" s="9"/>
      <c r="C95" s="9"/>
      <c r="D95" s="9"/>
      <c r="E95" s="9"/>
      <c r="F95" t="s" s="8">
        <v>8</v>
      </c>
      <c r="G95" s="26">
        <v>1100</v>
      </c>
      <c r="H95" t="s" s="8">
        <v>8</v>
      </c>
      <c r="I95" s="26">
        <v>1100</v>
      </c>
      <c r="J95" t="s" s="8">
        <v>8</v>
      </c>
      <c r="K95" s="27"/>
      <c r="L95" t="s" s="8">
        <v>8</v>
      </c>
      <c r="M95" s="27"/>
      <c r="N95" t="s" s="8">
        <v>8</v>
      </c>
      <c r="O95" s="27"/>
      <c r="P95" t="s" s="8">
        <v>8</v>
      </c>
      <c r="Q95" s="27"/>
      <c r="R95" t="s" s="8">
        <v>8</v>
      </c>
      <c r="S95" s="27"/>
      <c r="T95" t="s" s="8">
        <v>8</v>
      </c>
      <c r="U95" s="27"/>
      <c r="V95" t="s" s="8">
        <v>8</v>
      </c>
      <c r="W95" s="27"/>
      <c r="X95" t="s" s="8">
        <v>8</v>
      </c>
      <c r="Y95" s="27"/>
      <c r="Z95" t="s" s="243">
        <v>8</v>
      </c>
      <c r="AA95" s="27"/>
      <c r="AB95" t="s" s="243">
        <v>8</v>
      </c>
      <c r="AC95" s="27"/>
      <c r="AD95" s="117" cm="1">
        <f t="array" ref="AD95">G95+I95+K95+M95+O95+Q95+S95+U95+W95+Y95+AA95+AC95</f>
        <v>2200</v>
      </c>
      <c r="AE95" s="50" cm="1">
        <f t="array" ref="AE95">1000*12</f>
        <v>12000</v>
      </c>
      <c r="AF95" s="51" cm="1">
        <f t="array" ref="AF95">AE95-AD95</f>
        <v>9800</v>
      </c>
    </row>
    <row r="96" ht="13.55" customHeight="1">
      <c r="A96" s="155"/>
      <c r="B96" s="9"/>
      <c r="C96" t="s" s="8">
        <v>9</v>
      </c>
      <c r="D96" s="25">
        <v>1000</v>
      </c>
      <c r="E96" s="9"/>
      <c r="F96" t="s" s="8">
        <v>10</v>
      </c>
      <c r="G96" t="s" s="33">
        <v>336</v>
      </c>
      <c r="H96" t="s" s="8">
        <v>10</v>
      </c>
      <c r="I96" t="s" s="33">
        <v>55</v>
      </c>
      <c r="J96" t="s" s="8">
        <v>10</v>
      </c>
      <c r="K96" s="34"/>
      <c r="L96" t="s" s="8">
        <v>10</v>
      </c>
      <c r="M96" s="34"/>
      <c r="N96" t="s" s="8">
        <v>10</v>
      </c>
      <c r="O96" s="34"/>
      <c r="P96" t="s" s="8">
        <v>10</v>
      </c>
      <c r="Q96" s="34"/>
      <c r="R96" t="s" s="8">
        <v>10</v>
      </c>
      <c r="S96" s="34"/>
      <c r="T96" t="s" s="8">
        <v>10</v>
      </c>
      <c r="U96" s="34"/>
      <c r="V96" t="s" s="8">
        <v>10</v>
      </c>
      <c r="W96" s="34"/>
      <c r="X96" t="s" s="8">
        <v>10</v>
      </c>
      <c r="Y96" s="34"/>
      <c r="Z96" t="s" s="243">
        <v>10</v>
      </c>
      <c r="AA96" s="34"/>
      <c r="AB96" t="s" s="243">
        <v>10</v>
      </c>
      <c r="AC96" s="34"/>
      <c r="AD96" s="32"/>
      <c r="AE96" s="13"/>
      <c r="AF96" s="7"/>
    </row>
    <row r="97" ht="13.75" customHeight="1">
      <c r="A97" s="155"/>
      <c r="B97" t="s" s="8">
        <v>468</v>
      </c>
      <c r="C97" s="9"/>
      <c r="D97" s="9"/>
      <c r="E97" t="s" s="8">
        <v>14</v>
      </c>
      <c r="F97" t="s" s="8">
        <v>6</v>
      </c>
      <c r="G97" s="16">
        <v>2126</v>
      </c>
      <c r="H97" t="s" s="8">
        <v>6</v>
      </c>
      <c r="I97" s="16">
        <v>2183</v>
      </c>
      <c r="J97" t="s" s="8">
        <v>6</v>
      </c>
      <c r="K97" s="40"/>
      <c r="L97" t="s" s="8">
        <v>6</v>
      </c>
      <c r="M97" s="18"/>
      <c r="N97" t="s" s="8">
        <v>6</v>
      </c>
      <c r="O97" s="18"/>
      <c r="P97" t="s" s="8">
        <v>6</v>
      </c>
      <c r="Q97" s="18"/>
      <c r="R97" t="s" s="8">
        <v>6</v>
      </c>
      <c r="S97" s="18"/>
      <c r="T97" t="s" s="8">
        <v>6</v>
      </c>
      <c r="U97" s="18"/>
      <c r="V97" t="s" s="8">
        <v>6</v>
      </c>
      <c r="W97" s="18"/>
      <c r="X97" t="s" s="8">
        <v>6</v>
      </c>
      <c r="Y97" s="18"/>
      <c r="Z97" t="s" s="243">
        <v>6</v>
      </c>
      <c r="AA97" s="18"/>
      <c r="AB97" t="s" s="243">
        <v>6</v>
      </c>
      <c r="AC97" s="18"/>
      <c r="AD97" s="32"/>
      <c r="AE97" s="13"/>
      <c r="AF97" s="7"/>
    </row>
    <row r="98" ht="13.55" customHeight="1">
      <c r="A98" s="155"/>
      <c r="B98" t="s" s="8">
        <v>469</v>
      </c>
      <c r="C98" s="9"/>
      <c r="D98" s="9"/>
      <c r="E98" s="9"/>
      <c r="F98" t="s" s="8">
        <v>8</v>
      </c>
      <c r="G98" s="26">
        <v>600</v>
      </c>
      <c r="H98" t="s" s="8">
        <v>8</v>
      </c>
      <c r="I98" s="26">
        <v>600</v>
      </c>
      <c r="J98" t="s" s="8">
        <v>8</v>
      </c>
      <c r="K98" s="41"/>
      <c r="L98" t="s" s="8">
        <v>8</v>
      </c>
      <c r="M98" s="27"/>
      <c r="N98" t="s" s="8">
        <v>8</v>
      </c>
      <c r="O98" s="27"/>
      <c r="P98" t="s" s="8">
        <v>8</v>
      </c>
      <c r="Q98" s="27"/>
      <c r="R98" t="s" s="8">
        <v>8</v>
      </c>
      <c r="S98" s="27"/>
      <c r="T98" t="s" s="8">
        <v>8</v>
      </c>
      <c r="U98" s="27"/>
      <c r="V98" t="s" s="8">
        <v>8</v>
      </c>
      <c r="W98" s="27"/>
      <c r="X98" t="s" s="8">
        <v>8</v>
      </c>
      <c r="Y98" s="27"/>
      <c r="Z98" t="s" s="243">
        <v>8</v>
      </c>
      <c r="AA98" s="27"/>
      <c r="AB98" t="s" s="243">
        <v>8</v>
      </c>
      <c r="AC98" s="27"/>
      <c r="AD98" s="32" cm="1">
        <f t="array" ref="AD98">G98+I98+K98+M98+O98+Q98+S98+U98+W98+Y98+AA98+AC98</f>
      </c>
      <c r="AE98" s="50" cm="1">
        <f t="array" ref="AE98">500*11</f>
        <v>5500</v>
      </c>
      <c r="AF98" s="7" cm="1">
        <f t="array" ref="AF98">AE98-AD98</f>
      </c>
    </row>
    <row r="99" ht="13.55" customHeight="1">
      <c r="A99" s="155"/>
      <c r="B99" s="23"/>
      <c r="C99" s="9"/>
      <c r="D99" s="9"/>
      <c r="E99" s="9"/>
      <c r="F99" t="s" s="8">
        <v>10</v>
      </c>
      <c r="G99" t="s" s="33">
        <v>336</v>
      </c>
      <c r="H99" t="s" s="8">
        <v>10</v>
      </c>
      <c r="I99" t="s" s="33">
        <v>55</v>
      </c>
      <c r="J99" t="s" s="8">
        <v>10</v>
      </c>
      <c r="K99" s="45"/>
      <c r="L99" t="s" s="8">
        <v>10</v>
      </c>
      <c r="M99" s="34"/>
      <c r="N99" t="s" s="8">
        <v>10</v>
      </c>
      <c r="O99" s="34"/>
      <c r="P99" t="s" s="8">
        <v>10</v>
      </c>
      <c r="Q99" s="34"/>
      <c r="R99" t="s" s="8">
        <v>10</v>
      </c>
      <c r="S99" s="34"/>
      <c r="T99" t="s" s="8">
        <v>10</v>
      </c>
      <c r="U99" s="34"/>
      <c r="V99" t="s" s="8">
        <v>10</v>
      </c>
      <c r="W99" s="34"/>
      <c r="X99" t="s" s="8">
        <v>10</v>
      </c>
      <c r="Y99" s="34"/>
      <c r="Z99" t="s" s="243">
        <v>10</v>
      </c>
      <c r="AA99" s="34"/>
      <c r="AB99" t="s" s="243">
        <v>10</v>
      </c>
      <c r="AC99" s="34"/>
      <c r="AD99" s="32"/>
      <c r="AE99" s="13"/>
      <c r="AF99" s="7"/>
    </row>
    <row r="100" ht="13.55" customHeight="1">
      <c r="A100" s="23"/>
      <c r="B100" s="9"/>
      <c r="C100" s="9"/>
      <c r="D100" s="9"/>
      <c r="E100" s="9"/>
      <c r="F100" s="9"/>
      <c r="G100" s="27"/>
      <c r="H100" s="9"/>
      <c r="I100" s="27"/>
      <c r="J100" s="9"/>
      <c r="K100" s="2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253"/>
      <c r="Z100" s="253"/>
      <c r="AA100" s="253"/>
      <c r="AB100" s="253"/>
      <c r="AC100" s="253"/>
      <c r="AD100" s="32"/>
      <c r="AE100" s="13"/>
      <c r="AF100" s="7"/>
    </row>
    <row r="101" ht="13.75" customHeight="1">
      <c r="A101" s="154">
        <v>15</v>
      </c>
      <c r="B101" t="s" s="130">
        <v>470</v>
      </c>
      <c r="C101" s="9"/>
      <c r="D101" s="9"/>
      <c r="E101" t="s" s="8">
        <v>5</v>
      </c>
      <c r="F101" t="s" s="8">
        <v>6</v>
      </c>
      <c r="G101" s="16">
        <v>1198</v>
      </c>
      <c r="H101" t="s" s="8">
        <v>6</v>
      </c>
      <c r="I101" s="16">
        <v>1198</v>
      </c>
      <c r="J101" t="s" s="8">
        <v>6</v>
      </c>
      <c r="K101" s="18"/>
      <c r="L101" t="s" s="8">
        <v>6</v>
      </c>
      <c r="M101" s="18"/>
      <c r="N101" t="s" s="8">
        <v>6</v>
      </c>
      <c r="O101" s="18"/>
      <c r="P101" t="s" s="8">
        <v>6</v>
      </c>
      <c r="Q101" s="18"/>
      <c r="R101" t="s" s="8">
        <v>6</v>
      </c>
      <c r="S101" s="18"/>
      <c r="T101" t="s" s="8">
        <v>6</v>
      </c>
      <c r="U101" s="18"/>
      <c r="V101" t="s" s="8">
        <v>6</v>
      </c>
      <c r="W101" s="18"/>
      <c r="X101" t="s" s="8">
        <v>6</v>
      </c>
      <c r="Y101" s="18"/>
      <c r="Z101" t="s" s="243">
        <v>6</v>
      </c>
      <c r="AA101" s="18"/>
      <c r="AB101" t="s" s="243">
        <v>6</v>
      </c>
      <c r="AC101" s="18"/>
      <c r="AD101" s="32"/>
      <c r="AE101" s="13"/>
      <c r="AF101" s="7"/>
    </row>
    <row r="102" ht="13.55" customHeight="1">
      <c r="A102" s="155"/>
      <c r="B102" s="9"/>
      <c r="C102" s="9"/>
      <c r="D102" s="9"/>
      <c r="E102" s="9"/>
      <c r="F102" t="s" s="8">
        <v>8</v>
      </c>
      <c r="G102" s="26">
        <v>1100</v>
      </c>
      <c r="H102" t="s" s="8">
        <v>8</v>
      </c>
      <c r="I102" s="26">
        <v>1100</v>
      </c>
      <c r="J102" t="s" s="8">
        <v>8</v>
      </c>
      <c r="K102" s="27"/>
      <c r="L102" t="s" s="8">
        <v>8</v>
      </c>
      <c r="M102" s="27"/>
      <c r="N102" t="s" s="8">
        <v>8</v>
      </c>
      <c r="O102" s="27"/>
      <c r="P102" t="s" s="8">
        <v>8</v>
      </c>
      <c r="Q102" s="27"/>
      <c r="R102" t="s" s="8">
        <v>8</v>
      </c>
      <c r="S102" s="27"/>
      <c r="T102" t="s" s="8">
        <v>8</v>
      </c>
      <c r="U102" s="27"/>
      <c r="V102" t="s" s="8">
        <v>8</v>
      </c>
      <c r="W102" s="27"/>
      <c r="X102" t="s" s="8">
        <v>8</v>
      </c>
      <c r="Y102" s="27"/>
      <c r="Z102" t="s" s="243">
        <v>8</v>
      </c>
      <c r="AA102" s="27"/>
      <c r="AB102" t="s" s="243">
        <v>8</v>
      </c>
      <c r="AC102" s="27"/>
      <c r="AD102" s="117" cm="1">
        <f t="array" ref="AD102">G102+I102+K102+M102+O102+Q102+S102+U102+W102+Y102+AA102+AC102</f>
        <v>2200</v>
      </c>
      <c r="AE102" s="50" cm="1">
        <f t="array" ref="AE102">1000*12</f>
        <v>12000</v>
      </c>
      <c r="AF102" s="51" cm="1">
        <f t="array" ref="AF102">AE102-AD102</f>
        <v>9800</v>
      </c>
    </row>
    <row r="103" ht="13.55" customHeight="1">
      <c r="A103" s="155"/>
      <c r="B103" s="9"/>
      <c r="C103" t="s" s="8">
        <v>9</v>
      </c>
      <c r="D103" s="25">
        <v>1000</v>
      </c>
      <c r="E103" s="9"/>
      <c r="F103" t="s" s="8">
        <v>10</v>
      </c>
      <c r="G103" t="s" s="33">
        <v>74</v>
      </c>
      <c r="H103" t="s" s="8">
        <v>10</v>
      </c>
      <c r="I103" t="s" s="33">
        <v>74</v>
      </c>
      <c r="J103" t="s" s="8">
        <v>10</v>
      </c>
      <c r="K103" s="34"/>
      <c r="L103" t="s" s="8">
        <v>10</v>
      </c>
      <c r="M103" s="34"/>
      <c r="N103" t="s" s="8">
        <v>10</v>
      </c>
      <c r="O103" s="34"/>
      <c r="P103" t="s" s="8">
        <v>10</v>
      </c>
      <c r="Q103" s="34"/>
      <c r="R103" t="s" s="8">
        <v>10</v>
      </c>
      <c r="S103" s="34"/>
      <c r="T103" t="s" s="8">
        <v>10</v>
      </c>
      <c r="U103" s="34"/>
      <c r="V103" t="s" s="8">
        <v>10</v>
      </c>
      <c r="W103" s="34"/>
      <c r="X103" t="s" s="8">
        <v>10</v>
      </c>
      <c r="Y103" s="34"/>
      <c r="Z103" t="s" s="243">
        <v>10</v>
      </c>
      <c r="AA103" s="34"/>
      <c r="AB103" t="s" s="243">
        <v>10</v>
      </c>
      <c r="AC103" s="34"/>
      <c r="AD103" s="32"/>
      <c r="AE103" s="13"/>
      <c r="AF103" s="7"/>
    </row>
    <row r="104" ht="13.75" customHeight="1">
      <c r="A104" s="155"/>
      <c r="B104" t="s" s="8">
        <v>471</v>
      </c>
      <c r="C104" s="9"/>
      <c r="D104" s="9"/>
      <c r="E104" t="s" s="8">
        <v>14</v>
      </c>
      <c r="F104" t="s" s="8">
        <v>6</v>
      </c>
      <c r="G104" s="16">
        <v>2108</v>
      </c>
      <c r="H104" t="s" s="8">
        <v>6</v>
      </c>
      <c r="I104" s="16">
        <v>2108</v>
      </c>
      <c r="J104" t="s" s="8">
        <v>6</v>
      </c>
      <c r="K104" s="27"/>
      <c r="L104" t="s" s="8">
        <v>6</v>
      </c>
      <c r="M104" s="18"/>
      <c r="N104" t="s" s="8">
        <v>6</v>
      </c>
      <c r="O104" s="18"/>
      <c r="P104" t="s" s="8">
        <v>6</v>
      </c>
      <c r="Q104" s="18"/>
      <c r="R104" t="s" s="8">
        <v>6</v>
      </c>
      <c r="S104" s="18"/>
      <c r="T104" t="s" s="8">
        <v>6</v>
      </c>
      <c r="U104" s="18"/>
      <c r="V104" t="s" s="8">
        <v>6</v>
      </c>
      <c r="W104" s="18"/>
      <c r="X104" t="s" s="8">
        <v>6</v>
      </c>
      <c r="Y104" s="18"/>
      <c r="Z104" t="s" s="243">
        <v>6</v>
      </c>
      <c r="AA104" s="18"/>
      <c r="AB104" t="s" s="243">
        <v>6</v>
      </c>
      <c r="AC104" s="18"/>
      <c r="AD104" s="32"/>
      <c r="AE104" s="13"/>
      <c r="AF104" s="7"/>
    </row>
    <row r="105" ht="13.55" customHeight="1">
      <c r="A105" s="155"/>
      <c r="B105" t="s" s="8">
        <v>472</v>
      </c>
      <c r="C105" s="9"/>
      <c r="D105" s="9"/>
      <c r="E105" s="9"/>
      <c r="F105" t="s" s="8">
        <v>8</v>
      </c>
      <c r="G105" s="26">
        <v>600</v>
      </c>
      <c r="H105" t="s" s="8">
        <v>8</v>
      </c>
      <c r="I105" s="26">
        <v>600</v>
      </c>
      <c r="J105" t="s" s="8">
        <v>8</v>
      </c>
      <c r="K105" s="27"/>
      <c r="L105" t="s" s="8">
        <v>8</v>
      </c>
      <c r="M105" s="27"/>
      <c r="N105" t="s" s="8">
        <v>8</v>
      </c>
      <c r="O105" s="27"/>
      <c r="P105" t="s" s="8">
        <v>8</v>
      </c>
      <c r="Q105" s="27"/>
      <c r="R105" t="s" s="8">
        <v>8</v>
      </c>
      <c r="S105" s="27"/>
      <c r="T105" t="s" s="8">
        <v>8</v>
      </c>
      <c r="U105" s="27"/>
      <c r="V105" t="s" s="8">
        <v>8</v>
      </c>
      <c r="W105" s="27"/>
      <c r="X105" t="s" s="8">
        <v>8</v>
      </c>
      <c r="Y105" s="27"/>
      <c r="Z105" t="s" s="243">
        <v>8</v>
      </c>
      <c r="AA105" s="27"/>
      <c r="AB105" t="s" s="243">
        <v>8</v>
      </c>
      <c r="AC105" s="27"/>
      <c r="AD105" s="117" cm="1">
        <f t="array" ref="AD105">G105+I105+K105+M105+O105+Q105+S105+U105+W105+Y105+AA105+AC105</f>
        <v>1200</v>
      </c>
      <c r="AE105" s="50" cm="1">
        <f t="array" ref="AE105">500*11</f>
        <v>5500</v>
      </c>
      <c r="AF105" s="51" cm="1">
        <f t="array" ref="AF105">AE105-AD105</f>
        <v>4300</v>
      </c>
    </row>
    <row r="106" ht="13.55" customHeight="1">
      <c r="A106" s="155"/>
      <c r="B106" s="23"/>
      <c r="C106" s="9"/>
      <c r="D106" s="9"/>
      <c r="E106" s="9"/>
      <c r="F106" t="s" s="8">
        <v>10</v>
      </c>
      <c r="G106" t="s" s="33">
        <v>74</v>
      </c>
      <c r="H106" t="s" s="8">
        <v>10</v>
      </c>
      <c r="I106" t="s" s="33">
        <v>74</v>
      </c>
      <c r="J106" t="s" s="8">
        <v>10</v>
      </c>
      <c r="K106" s="27"/>
      <c r="L106" t="s" s="8">
        <v>10</v>
      </c>
      <c r="M106" s="34"/>
      <c r="N106" t="s" s="8">
        <v>10</v>
      </c>
      <c r="O106" s="34"/>
      <c r="P106" t="s" s="8">
        <v>10</v>
      </c>
      <c r="Q106" s="34"/>
      <c r="R106" t="s" s="8">
        <v>10</v>
      </c>
      <c r="S106" s="34"/>
      <c r="T106" t="s" s="8">
        <v>10</v>
      </c>
      <c r="U106" s="34"/>
      <c r="V106" t="s" s="8">
        <v>10</v>
      </c>
      <c r="W106" s="34"/>
      <c r="X106" t="s" s="8">
        <v>10</v>
      </c>
      <c r="Y106" s="34"/>
      <c r="Z106" t="s" s="243">
        <v>10</v>
      </c>
      <c r="AA106" s="34"/>
      <c r="AB106" t="s" s="243">
        <v>10</v>
      </c>
      <c r="AC106" s="34"/>
      <c r="AD106" s="32"/>
      <c r="AE106" s="13"/>
      <c r="AF106" s="7"/>
    </row>
    <row r="107" ht="13.55" customHeight="1">
      <c r="A107" s="23"/>
      <c r="B107" s="9"/>
      <c r="C107" s="9"/>
      <c r="D107" s="9"/>
      <c r="E107" s="9"/>
      <c r="F107" s="9"/>
      <c r="G107" s="27"/>
      <c r="H107" s="9"/>
      <c r="I107" s="27"/>
      <c r="J107" s="9"/>
      <c r="K107" s="2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253"/>
      <c r="Z107" s="253"/>
      <c r="AA107" s="253"/>
      <c r="AB107" s="253"/>
      <c r="AC107" s="253"/>
      <c r="AD107" s="32"/>
      <c r="AE107" s="13"/>
      <c r="AF107" s="7"/>
    </row>
    <row r="108" ht="13.75" customHeight="1">
      <c r="A108" s="154">
        <v>16</v>
      </c>
      <c r="B108" t="s" s="130">
        <v>473</v>
      </c>
      <c r="C108" s="9"/>
      <c r="D108" s="9"/>
      <c r="E108" t="s" s="8">
        <v>5</v>
      </c>
      <c r="F108" t="s" s="8">
        <v>6</v>
      </c>
      <c r="G108" s="16">
        <v>1125</v>
      </c>
      <c r="H108" t="s" s="8">
        <v>6</v>
      </c>
      <c r="I108" s="16">
        <v>3217</v>
      </c>
      <c r="J108" t="s" s="8">
        <v>6</v>
      </c>
      <c r="K108" s="16">
        <v>3217</v>
      </c>
      <c r="L108" t="s" s="8">
        <v>6</v>
      </c>
      <c r="M108" s="18"/>
      <c r="N108" t="s" s="8">
        <v>6</v>
      </c>
      <c r="O108" s="18"/>
      <c r="P108" t="s" s="8">
        <v>6</v>
      </c>
      <c r="Q108" s="18"/>
      <c r="R108" t="s" s="8">
        <v>6</v>
      </c>
      <c r="S108" s="18"/>
      <c r="T108" t="s" s="8">
        <v>6</v>
      </c>
      <c r="U108" s="18"/>
      <c r="V108" t="s" s="8">
        <v>6</v>
      </c>
      <c r="W108" s="18"/>
      <c r="X108" t="s" s="8">
        <v>6</v>
      </c>
      <c r="Y108" s="18"/>
      <c r="Z108" t="s" s="243">
        <v>6</v>
      </c>
      <c r="AA108" s="18"/>
      <c r="AB108" t="s" s="243">
        <v>6</v>
      </c>
      <c r="AC108" s="18"/>
      <c r="AD108" s="32"/>
      <c r="AE108" s="13"/>
      <c r="AF108" s="7"/>
    </row>
    <row r="109" ht="13.55" customHeight="1">
      <c r="A109" s="155"/>
      <c r="B109" s="9"/>
      <c r="C109" s="42"/>
      <c r="D109" s="42"/>
      <c r="E109" s="9"/>
      <c r="F109" t="s" s="8">
        <v>8</v>
      </c>
      <c r="G109" s="26">
        <v>1100</v>
      </c>
      <c r="H109" t="s" s="8">
        <v>8</v>
      </c>
      <c r="I109" s="26">
        <v>1100</v>
      </c>
      <c r="J109" t="s" s="8">
        <v>8</v>
      </c>
      <c r="K109" s="26">
        <v>1100</v>
      </c>
      <c r="L109" t="s" s="8">
        <v>8</v>
      </c>
      <c r="M109" s="27"/>
      <c r="N109" t="s" s="8">
        <v>8</v>
      </c>
      <c r="O109" s="27"/>
      <c r="P109" t="s" s="8">
        <v>8</v>
      </c>
      <c r="Q109" s="27"/>
      <c r="R109" t="s" s="8">
        <v>8</v>
      </c>
      <c r="S109" s="27"/>
      <c r="T109" t="s" s="8">
        <v>8</v>
      </c>
      <c r="U109" s="27"/>
      <c r="V109" t="s" s="8">
        <v>8</v>
      </c>
      <c r="W109" s="27"/>
      <c r="X109" t="s" s="8">
        <v>8</v>
      </c>
      <c r="Y109" s="27"/>
      <c r="Z109" t="s" s="243">
        <v>8</v>
      </c>
      <c r="AA109" s="27"/>
      <c r="AB109" t="s" s="243">
        <v>8</v>
      </c>
      <c r="AC109" s="27"/>
      <c r="AD109" s="117" cm="1">
        <f t="array" ref="AD109">G109+I109+K109+M109+O109+Q109+S109+U109+W109+Y109+AA109+AC109</f>
        <v>3300</v>
      </c>
      <c r="AE109" s="50" cm="1">
        <f t="array" ref="AE109">1000*12</f>
        <v>12000</v>
      </c>
      <c r="AF109" s="51" cm="1">
        <f t="array" ref="AF109">AE109-AD109</f>
        <v>8700</v>
      </c>
    </row>
    <row r="110" ht="13.55" customHeight="1">
      <c r="A110" s="155"/>
      <c r="B110" s="9"/>
      <c r="C110" t="s" s="8">
        <v>9</v>
      </c>
      <c r="D110" s="25">
        <v>1000</v>
      </c>
      <c r="E110" s="9"/>
      <c r="F110" t="s" s="8">
        <v>10</v>
      </c>
      <c r="G110" t="s" s="33">
        <v>93</v>
      </c>
      <c r="H110" t="s" s="8">
        <v>10</v>
      </c>
      <c r="I110" t="s" s="33">
        <v>55</v>
      </c>
      <c r="J110" t="s" s="8">
        <v>10</v>
      </c>
      <c r="K110" t="s" s="33">
        <v>55</v>
      </c>
      <c r="L110" t="s" s="8">
        <v>10</v>
      </c>
      <c r="M110" s="34"/>
      <c r="N110" t="s" s="8">
        <v>10</v>
      </c>
      <c r="O110" s="34"/>
      <c r="P110" t="s" s="8">
        <v>10</v>
      </c>
      <c r="Q110" s="34"/>
      <c r="R110" t="s" s="33">
        <v>10</v>
      </c>
      <c r="S110" s="34"/>
      <c r="T110" t="s" s="8">
        <v>10</v>
      </c>
      <c r="U110" s="34"/>
      <c r="V110" t="s" s="8">
        <v>10</v>
      </c>
      <c r="W110" s="34"/>
      <c r="X110" t="s" s="8">
        <v>10</v>
      </c>
      <c r="Y110" s="34"/>
      <c r="Z110" t="s" s="243">
        <v>10</v>
      </c>
      <c r="AA110" s="34"/>
      <c r="AB110" t="s" s="243">
        <v>10</v>
      </c>
      <c r="AC110" s="34"/>
      <c r="AD110" s="32"/>
      <c r="AE110" s="13"/>
      <c r="AF110" s="7"/>
    </row>
    <row r="111" ht="13.75" customHeight="1">
      <c r="A111" s="155"/>
      <c r="B111" t="s" s="8">
        <v>474</v>
      </c>
      <c r="C111" s="9"/>
      <c r="D111" s="9"/>
      <c r="E111" t="s" s="8">
        <v>14</v>
      </c>
      <c r="F111" t="s" s="8">
        <v>6</v>
      </c>
      <c r="G111" s="18"/>
      <c r="H111" t="s" s="8">
        <v>6</v>
      </c>
      <c r="I111" s="16">
        <v>2191</v>
      </c>
      <c r="J111" t="s" s="8">
        <v>6</v>
      </c>
      <c r="K111" s="257"/>
      <c r="L111" t="s" s="8">
        <v>6</v>
      </c>
      <c r="M111" s="18"/>
      <c r="N111" t="s" s="8">
        <v>6</v>
      </c>
      <c r="O111" s="18"/>
      <c r="P111" t="s" s="8">
        <v>6</v>
      </c>
      <c r="Q111" s="18"/>
      <c r="R111" t="s" s="8">
        <v>6</v>
      </c>
      <c r="S111" s="18"/>
      <c r="T111" t="s" s="8">
        <v>6</v>
      </c>
      <c r="U111" s="18"/>
      <c r="V111" t="s" s="8">
        <v>6</v>
      </c>
      <c r="W111" s="18"/>
      <c r="X111" t="s" s="8">
        <v>6</v>
      </c>
      <c r="Y111" s="18"/>
      <c r="Z111" t="s" s="243">
        <v>6</v>
      </c>
      <c r="AA111" s="18"/>
      <c r="AB111" t="s" s="243">
        <v>6</v>
      </c>
      <c r="AC111" s="18"/>
      <c r="AD111" s="32"/>
      <c r="AE111" s="13"/>
      <c r="AF111" s="7"/>
    </row>
    <row r="112" ht="13.55" customHeight="1">
      <c r="A112" s="155"/>
      <c r="B112" t="s" s="8">
        <v>475</v>
      </c>
      <c r="C112" s="9"/>
      <c r="D112" s="9"/>
      <c r="E112" s="9"/>
      <c r="F112" t="s" s="8">
        <v>8</v>
      </c>
      <c r="G112" s="27"/>
      <c r="H112" t="s" s="8">
        <v>8</v>
      </c>
      <c r="I112" s="26">
        <v>600</v>
      </c>
      <c r="J112" t="s" s="8">
        <v>8</v>
      </c>
      <c r="K112" s="258"/>
      <c r="L112" t="s" s="8">
        <v>8</v>
      </c>
      <c r="M112" s="27"/>
      <c r="N112" t="s" s="8">
        <v>8</v>
      </c>
      <c r="O112" s="27"/>
      <c r="P112" t="s" s="8">
        <v>8</v>
      </c>
      <c r="Q112" s="27"/>
      <c r="R112" t="s" s="8">
        <v>8</v>
      </c>
      <c r="S112" s="27"/>
      <c r="T112" t="s" s="8">
        <v>8</v>
      </c>
      <c r="U112" s="27"/>
      <c r="V112" t="s" s="8">
        <v>8</v>
      </c>
      <c r="W112" s="27"/>
      <c r="X112" t="s" s="8">
        <v>8</v>
      </c>
      <c r="Y112" s="27"/>
      <c r="Z112" t="s" s="243">
        <v>8</v>
      </c>
      <c r="AA112" s="27"/>
      <c r="AB112" t="s" s="243">
        <v>8</v>
      </c>
      <c r="AC112" s="27"/>
      <c r="AD112" s="32" cm="1">
        <f t="array" ref="AD112">G112+I112+K112+M112+O112+Q112+S112+U112+W112+Y112+AA112+AC112</f>
      </c>
      <c r="AE112" s="50" cm="1">
        <f t="array" ref="AE112">500*11</f>
        <v>5500</v>
      </c>
      <c r="AF112" s="7" cm="1">
        <f t="array" ref="AF112">AE112-AD112</f>
      </c>
    </row>
    <row r="113" ht="13.55" customHeight="1">
      <c r="A113" s="155"/>
      <c r="B113" s="23"/>
      <c r="C113" s="9"/>
      <c r="D113" s="9"/>
      <c r="E113" s="9"/>
      <c r="F113" t="s" s="8">
        <v>10</v>
      </c>
      <c r="G113" s="34"/>
      <c r="H113" t="s" s="8">
        <v>10</v>
      </c>
      <c r="I113" t="s" s="33">
        <v>55</v>
      </c>
      <c r="J113" t="s" s="8">
        <v>10</v>
      </c>
      <c r="K113" s="259"/>
      <c r="L113" t="s" s="8">
        <v>10</v>
      </c>
      <c r="M113" s="34"/>
      <c r="N113" t="s" s="8">
        <v>10</v>
      </c>
      <c r="O113" s="34"/>
      <c r="P113" t="s" s="8">
        <v>10</v>
      </c>
      <c r="Q113" s="34"/>
      <c r="R113" t="s" s="8">
        <v>10</v>
      </c>
      <c r="S113" s="34"/>
      <c r="T113" t="s" s="8">
        <v>10</v>
      </c>
      <c r="U113" s="34"/>
      <c r="V113" t="s" s="8">
        <v>10</v>
      </c>
      <c r="W113" s="34"/>
      <c r="X113" t="s" s="8">
        <v>10</v>
      </c>
      <c r="Y113" s="34"/>
      <c r="Z113" t="s" s="243">
        <v>10</v>
      </c>
      <c r="AA113" s="34"/>
      <c r="AB113" t="s" s="243">
        <v>10</v>
      </c>
      <c r="AC113" s="34"/>
      <c r="AD113" s="32"/>
      <c r="AE113" s="13"/>
      <c r="AF113" s="7"/>
    </row>
    <row r="114" ht="13.55" customHeight="1">
      <c r="A114" s="23"/>
      <c r="B114" s="9"/>
      <c r="C114" s="9"/>
      <c r="D114" s="9"/>
      <c r="E114" s="9"/>
      <c r="F114" s="9"/>
      <c r="G114" s="27"/>
      <c r="H114" s="9"/>
      <c r="I114" s="27"/>
      <c r="J114" s="9"/>
      <c r="K114" s="2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253"/>
      <c r="Z114" s="253"/>
      <c r="AA114" s="253"/>
      <c r="AB114" s="253"/>
      <c r="AC114" s="253"/>
      <c r="AD114" s="32"/>
      <c r="AE114" s="13"/>
      <c r="AF114" s="7"/>
    </row>
    <row r="115" ht="13.75" customHeight="1">
      <c r="A115" s="154">
        <v>17</v>
      </c>
      <c r="B115" t="s" s="130">
        <v>476</v>
      </c>
      <c r="C115" s="9"/>
      <c r="D115" s="9"/>
      <c r="E115" t="s" s="8">
        <v>5</v>
      </c>
      <c r="F115" t="s" s="8">
        <v>6</v>
      </c>
      <c r="G115" s="16">
        <v>1245</v>
      </c>
      <c r="H115" t="s" s="8">
        <v>6</v>
      </c>
      <c r="I115" s="16">
        <v>3256</v>
      </c>
      <c r="J115" t="s" s="8">
        <v>6</v>
      </c>
      <c r="K115" s="18"/>
      <c r="L115" t="s" s="8">
        <v>6</v>
      </c>
      <c r="M115" s="18"/>
      <c r="N115" t="s" s="8">
        <v>6</v>
      </c>
      <c r="O115" s="18"/>
      <c r="P115" t="s" s="8">
        <v>6</v>
      </c>
      <c r="Q115" s="18"/>
      <c r="R115" t="s" s="8">
        <v>6</v>
      </c>
      <c r="S115" s="18"/>
      <c r="T115" t="s" s="8">
        <v>6</v>
      </c>
      <c r="U115" s="18"/>
      <c r="V115" t="s" s="8">
        <v>6</v>
      </c>
      <c r="W115" s="18"/>
      <c r="X115" t="s" s="8">
        <v>6</v>
      </c>
      <c r="Y115" s="18"/>
      <c r="Z115" t="s" s="243">
        <v>6</v>
      </c>
      <c r="AA115" s="18"/>
      <c r="AB115" t="s" s="243">
        <v>6</v>
      </c>
      <c r="AC115" s="18"/>
      <c r="AD115" s="32"/>
      <c r="AE115" s="13"/>
      <c r="AF115" s="7"/>
    </row>
    <row r="116" ht="13.55" customHeight="1">
      <c r="A116" s="155"/>
      <c r="B116" s="23"/>
      <c r="C116" s="42"/>
      <c r="D116" s="42"/>
      <c r="E116" s="9"/>
      <c r="F116" t="s" s="8">
        <v>8</v>
      </c>
      <c r="G116" s="26">
        <v>550</v>
      </c>
      <c r="H116" t="s" s="8">
        <v>8</v>
      </c>
      <c r="I116" s="26">
        <v>550</v>
      </c>
      <c r="J116" t="s" s="8">
        <v>8</v>
      </c>
      <c r="K116" s="27"/>
      <c r="L116" t="s" s="8">
        <v>8</v>
      </c>
      <c r="M116" s="27"/>
      <c r="N116" t="s" s="8">
        <v>8</v>
      </c>
      <c r="O116" s="27"/>
      <c r="P116" t="s" s="8">
        <v>8</v>
      </c>
      <c r="Q116" s="27"/>
      <c r="R116" t="s" s="8">
        <v>8</v>
      </c>
      <c r="S116" s="27"/>
      <c r="T116" t="s" s="8">
        <v>8</v>
      </c>
      <c r="U116" s="27"/>
      <c r="V116" t="s" s="8">
        <v>8</v>
      </c>
      <c r="W116" s="27"/>
      <c r="X116" t="s" s="8">
        <v>8</v>
      </c>
      <c r="Y116" s="27"/>
      <c r="Z116" t="s" s="243">
        <v>8</v>
      </c>
      <c r="AA116" s="27"/>
      <c r="AB116" t="s" s="243">
        <v>8</v>
      </c>
      <c r="AC116" s="27"/>
      <c r="AD116" s="117" cm="1">
        <f t="array" ref="AD116">G116+I116+K116+M116+O116+Q116+S116+U116+W116+Y116+AA116+AC116</f>
        <v>1100</v>
      </c>
      <c r="AE116" s="50" cm="1">
        <f t="array" ref="AE116">500*12</f>
        <v>6000</v>
      </c>
      <c r="AF116" s="51" cm="1">
        <f t="array" ref="AF116">AE116-AD116</f>
        <v>4900</v>
      </c>
    </row>
    <row r="117" ht="13.55" customHeight="1">
      <c r="A117" s="155"/>
      <c r="B117" t="s" s="144">
        <v>60</v>
      </c>
      <c r="C117" t="s" s="8">
        <v>9</v>
      </c>
      <c r="D117" s="25">
        <v>1000</v>
      </c>
      <c r="E117" s="9"/>
      <c r="F117" t="s" s="8">
        <v>10</v>
      </c>
      <c r="G117" t="s" s="33">
        <v>436</v>
      </c>
      <c r="H117" t="s" s="8">
        <v>10</v>
      </c>
      <c r="I117" t="s" s="33">
        <v>35</v>
      </c>
      <c r="J117" t="s" s="8">
        <v>10</v>
      </c>
      <c r="K117" s="34"/>
      <c r="L117" t="s" s="8">
        <v>10</v>
      </c>
      <c r="M117" s="34"/>
      <c r="N117" t="s" s="8">
        <v>10</v>
      </c>
      <c r="O117" s="34"/>
      <c r="P117" t="s" s="8">
        <v>10</v>
      </c>
      <c r="Q117" s="34"/>
      <c r="R117" t="s" s="8">
        <v>10</v>
      </c>
      <c r="S117" s="34"/>
      <c r="T117" t="s" s="8">
        <v>10</v>
      </c>
      <c r="U117" s="34"/>
      <c r="V117" t="s" s="8">
        <v>10</v>
      </c>
      <c r="W117" s="34"/>
      <c r="X117" t="s" s="8">
        <v>10</v>
      </c>
      <c r="Y117" s="34"/>
      <c r="Z117" t="s" s="243">
        <v>10</v>
      </c>
      <c r="AA117" s="34"/>
      <c r="AB117" t="s" s="243">
        <v>10</v>
      </c>
      <c r="AC117" s="34"/>
      <c r="AD117" s="32"/>
      <c r="AE117" s="13"/>
      <c r="AF117" s="7"/>
    </row>
    <row r="118" ht="13.75" customHeight="1">
      <c r="A118" s="155"/>
      <c r="B118" t="s" s="8">
        <v>477</v>
      </c>
      <c r="C118" s="9"/>
      <c r="D118" s="9"/>
      <c r="E118" t="s" s="8">
        <v>14</v>
      </c>
      <c r="F118" t="s" s="8">
        <v>6</v>
      </c>
      <c r="G118" s="131"/>
      <c r="H118" t="s" s="8">
        <v>6</v>
      </c>
      <c r="I118" s="18"/>
      <c r="J118" t="s" s="8">
        <v>6</v>
      </c>
      <c r="K118" s="76"/>
      <c r="L118" t="s" s="8">
        <v>6</v>
      </c>
      <c r="M118" s="18"/>
      <c r="N118" t="s" s="8">
        <v>6</v>
      </c>
      <c r="O118" s="260"/>
      <c r="P118" t="s" s="8">
        <v>6</v>
      </c>
      <c r="Q118" s="76"/>
      <c r="R118" t="s" s="8">
        <v>6</v>
      </c>
      <c r="S118" s="18"/>
      <c r="T118" t="s" s="8">
        <v>6</v>
      </c>
      <c r="U118" s="9"/>
      <c r="V118" t="s" s="8">
        <v>6</v>
      </c>
      <c r="W118" s="9"/>
      <c r="X118" t="s" s="8">
        <v>6</v>
      </c>
      <c r="Y118" s="253"/>
      <c r="Z118" t="s" s="243">
        <v>6</v>
      </c>
      <c r="AA118" s="253"/>
      <c r="AB118" t="s" s="243">
        <v>6</v>
      </c>
      <c r="AC118" s="253"/>
      <c r="AD118" s="32"/>
      <c r="AE118" s="13"/>
      <c r="AF118" s="7"/>
    </row>
    <row r="119" ht="13.55" customHeight="1">
      <c r="A119" s="155"/>
      <c r="B119" t="s" s="8">
        <v>478</v>
      </c>
      <c r="C119" s="9"/>
      <c r="D119" s="9"/>
      <c r="E119" s="9"/>
      <c r="F119" t="s" s="8">
        <v>8</v>
      </c>
      <c r="G119" s="27"/>
      <c r="H119" t="s" s="8">
        <v>8</v>
      </c>
      <c r="I119" s="27"/>
      <c r="J119" t="s" s="8">
        <v>8</v>
      </c>
      <c r="K119" s="77"/>
      <c r="L119" t="s" s="8">
        <v>8</v>
      </c>
      <c r="M119" s="27"/>
      <c r="N119" t="s" s="8">
        <v>8</v>
      </c>
      <c r="O119" s="261"/>
      <c r="P119" t="s" s="8">
        <v>8</v>
      </c>
      <c r="Q119" s="77"/>
      <c r="R119" t="s" s="8">
        <v>8</v>
      </c>
      <c r="S119" s="27"/>
      <c r="T119" t="s" s="8">
        <v>8</v>
      </c>
      <c r="U119" s="9"/>
      <c r="V119" t="s" s="8">
        <v>8</v>
      </c>
      <c r="W119" s="9"/>
      <c r="X119" t="s" s="8">
        <v>8</v>
      </c>
      <c r="Y119" s="253"/>
      <c r="Z119" t="s" s="243">
        <v>8</v>
      </c>
      <c r="AA119" s="253"/>
      <c r="AB119" t="s" s="243">
        <v>8</v>
      </c>
      <c r="AC119" s="253"/>
      <c r="AD119" s="32" cm="1">
        <f t="array" ref="AD119">G119+I119+K119+M119+O119+Q119+S119+U119+W119+Y119+AA119+AC119</f>
      </c>
      <c r="AE119" s="50" cm="1">
        <f t="array" ref="AE119">500*4</f>
        <v>2000</v>
      </c>
      <c r="AF119" s="7" cm="1">
        <f t="array" ref="AF119">AE119-AD119</f>
      </c>
    </row>
    <row r="120" ht="13.55" customHeight="1">
      <c r="A120" s="155"/>
      <c r="B120" s="23"/>
      <c r="C120" s="9"/>
      <c r="D120" s="9"/>
      <c r="E120" s="9"/>
      <c r="F120" t="s" s="8">
        <v>10</v>
      </c>
      <c r="G120" s="34"/>
      <c r="H120" t="s" s="8">
        <v>10</v>
      </c>
      <c r="I120" s="34"/>
      <c r="J120" t="s" s="8">
        <v>10</v>
      </c>
      <c r="K120" s="78"/>
      <c r="L120" t="s" s="8">
        <v>10</v>
      </c>
      <c r="M120" s="34"/>
      <c r="N120" t="s" s="8">
        <v>10</v>
      </c>
      <c r="O120" s="262"/>
      <c r="P120" t="s" s="8">
        <v>10</v>
      </c>
      <c r="Q120" s="78"/>
      <c r="R120" t="s" s="8">
        <v>10</v>
      </c>
      <c r="S120" s="34"/>
      <c r="T120" t="s" s="8">
        <v>10</v>
      </c>
      <c r="U120" s="9"/>
      <c r="V120" t="s" s="8">
        <v>10</v>
      </c>
      <c r="W120" s="9"/>
      <c r="X120" t="s" s="8">
        <v>10</v>
      </c>
      <c r="Y120" s="253"/>
      <c r="Z120" t="s" s="243">
        <v>10</v>
      </c>
      <c r="AA120" s="253"/>
      <c r="AB120" t="s" s="243">
        <v>10</v>
      </c>
      <c r="AC120" s="253"/>
      <c r="AD120" s="32"/>
      <c r="AE120" s="13"/>
      <c r="AF120" s="7"/>
    </row>
    <row r="121" ht="13.55" customHeight="1">
      <c r="A121" s="23"/>
      <c r="B121" s="9"/>
      <c r="C121" s="9"/>
      <c r="D121" s="9"/>
      <c r="E121" s="9"/>
      <c r="F121" s="9"/>
      <c r="G121" s="27"/>
      <c r="H121" s="9"/>
      <c r="I121" s="27"/>
      <c r="J121" s="9"/>
      <c r="K121" s="2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253"/>
      <c r="Z121" s="253"/>
      <c r="AA121" s="253"/>
      <c r="AB121" s="253"/>
      <c r="AC121" s="253"/>
      <c r="AD121" s="32"/>
      <c r="AE121" s="13"/>
      <c r="AF121" s="7"/>
    </row>
    <row r="122" ht="13.75" customHeight="1">
      <c r="A122" s="154">
        <v>18</v>
      </c>
      <c r="B122" t="s" s="130">
        <v>479</v>
      </c>
      <c r="C122" s="9"/>
      <c r="D122" s="9"/>
      <c r="E122" t="s" s="8">
        <v>5</v>
      </c>
      <c r="F122" t="s" s="8">
        <v>6</v>
      </c>
      <c r="G122" s="16">
        <v>1081</v>
      </c>
      <c r="H122" t="s" s="8">
        <v>6</v>
      </c>
      <c r="I122" s="131"/>
      <c r="J122" t="s" s="8">
        <v>6</v>
      </c>
      <c r="K122" s="131"/>
      <c r="L122" t="s" s="8">
        <v>6</v>
      </c>
      <c r="M122" s="131"/>
      <c r="N122" t="s" s="8">
        <v>6</v>
      </c>
      <c r="O122" s="131"/>
      <c r="P122" t="s" s="8">
        <v>6</v>
      </c>
      <c r="Q122" s="131"/>
      <c r="R122" t="s" s="8">
        <v>6</v>
      </c>
      <c r="S122" s="131"/>
      <c r="T122" t="s" s="8">
        <v>6</v>
      </c>
      <c r="U122" s="131"/>
      <c r="V122" t="s" s="8">
        <v>6</v>
      </c>
      <c r="W122" s="131"/>
      <c r="X122" t="s" s="8">
        <v>6</v>
      </c>
      <c r="Y122" s="131"/>
      <c r="Z122" t="s" s="243">
        <v>6</v>
      </c>
      <c r="AA122" s="131"/>
      <c r="AB122" t="s" s="243">
        <v>6</v>
      </c>
      <c r="AC122" s="131"/>
      <c r="AD122" s="32"/>
      <c r="AE122" s="13"/>
      <c r="AF122" s="7"/>
    </row>
    <row r="123" ht="13.55" customHeight="1">
      <c r="A123" s="155"/>
      <c r="B123" s="9"/>
      <c r="C123" s="9"/>
      <c r="D123" s="9"/>
      <c r="E123" s="9"/>
      <c r="F123" t="s" s="8">
        <v>8</v>
      </c>
      <c r="G123" s="26">
        <v>1100</v>
      </c>
      <c r="H123" t="s" s="8">
        <v>8</v>
      </c>
      <c r="I123" s="27"/>
      <c r="J123" t="s" s="8">
        <v>8</v>
      </c>
      <c r="K123" s="27"/>
      <c r="L123" t="s" s="8">
        <v>8</v>
      </c>
      <c r="M123" s="27"/>
      <c r="N123" t="s" s="8">
        <v>8</v>
      </c>
      <c r="O123" s="27"/>
      <c r="P123" t="s" s="8">
        <v>8</v>
      </c>
      <c r="Q123" s="27"/>
      <c r="R123" t="s" s="8">
        <v>8</v>
      </c>
      <c r="S123" s="27"/>
      <c r="T123" t="s" s="8">
        <v>8</v>
      </c>
      <c r="U123" s="27"/>
      <c r="V123" t="s" s="8">
        <v>8</v>
      </c>
      <c r="W123" s="27"/>
      <c r="X123" t="s" s="8">
        <v>8</v>
      </c>
      <c r="Y123" s="27"/>
      <c r="Z123" t="s" s="243">
        <v>8</v>
      </c>
      <c r="AA123" s="27"/>
      <c r="AB123" t="s" s="243">
        <v>8</v>
      </c>
      <c r="AC123" s="27"/>
      <c r="AD123" s="117" cm="1">
        <f t="array" ref="AD123">G123+I123+K123+M123+O123+Q123+S123+U123+W123+Y123+AA123+AC123</f>
        <v>1100</v>
      </c>
      <c r="AE123" s="50" cm="1">
        <f t="array" ref="AE123">1000*12</f>
        <v>12000</v>
      </c>
      <c r="AF123" s="51" cm="1">
        <f t="array" ref="AF123">AE123-AD123</f>
        <v>10900</v>
      </c>
    </row>
    <row r="124" ht="13.55" customHeight="1">
      <c r="A124" s="155"/>
      <c r="B124" s="9"/>
      <c r="C124" t="s" s="8">
        <v>9</v>
      </c>
      <c r="D124" s="25">
        <v>1000</v>
      </c>
      <c r="E124" s="9"/>
      <c r="F124" t="s" s="8">
        <v>10</v>
      </c>
      <c r="G124" t="s" s="33">
        <v>17</v>
      </c>
      <c r="H124" t="s" s="8">
        <v>10</v>
      </c>
      <c r="I124" s="34"/>
      <c r="J124" t="s" s="8">
        <v>10</v>
      </c>
      <c r="K124" s="34"/>
      <c r="L124" t="s" s="8">
        <v>10</v>
      </c>
      <c r="M124" s="34"/>
      <c r="N124" t="s" s="8">
        <v>10</v>
      </c>
      <c r="O124" s="34"/>
      <c r="P124" t="s" s="8">
        <v>10</v>
      </c>
      <c r="Q124" s="34"/>
      <c r="R124" t="s" s="8">
        <v>10</v>
      </c>
      <c r="S124" s="34"/>
      <c r="T124" t="s" s="8">
        <v>10</v>
      </c>
      <c r="U124" s="34"/>
      <c r="V124" t="s" s="8">
        <v>10</v>
      </c>
      <c r="W124" s="34"/>
      <c r="X124" t="s" s="8">
        <v>10</v>
      </c>
      <c r="Y124" s="34"/>
      <c r="Z124" t="s" s="243">
        <v>10</v>
      </c>
      <c r="AA124" s="34"/>
      <c r="AB124" t="s" s="243">
        <v>10</v>
      </c>
      <c r="AC124" s="34"/>
      <c r="AD124" s="32"/>
      <c r="AE124" s="13"/>
      <c r="AF124" s="7"/>
    </row>
    <row r="125" ht="13.55" customHeight="1">
      <c r="A125" s="155"/>
      <c r="B125" t="s" s="8">
        <v>480</v>
      </c>
      <c r="C125" s="9"/>
      <c r="D125" s="9"/>
      <c r="E125" t="s" s="8">
        <v>14</v>
      </c>
      <c r="F125" t="s" s="8">
        <v>6</v>
      </c>
      <c r="G125" s="27"/>
      <c r="H125" t="s" s="8">
        <v>6</v>
      </c>
      <c r="I125" s="131"/>
      <c r="J125" t="s" s="8">
        <v>6</v>
      </c>
      <c r="K125" s="27"/>
      <c r="L125" t="s" s="8">
        <v>6</v>
      </c>
      <c r="M125" s="131"/>
      <c r="N125" t="s" s="8">
        <v>6</v>
      </c>
      <c r="O125" s="131"/>
      <c r="P125" t="s" s="8">
        <v>6</v>
      </c>
      <c r="Q125" s="131"/>
      <c r="R125" t="s" s="8">
        <v>6</v>
      </c>
      <c r="S125" s="9"/>
      <c r="T125" t="s" s="8">
        <v>6</v>
      </c>
      <c r="U125" s="9"/>
      <c r="V125" t="s" s="8">
        <v>6</v>
      </c>
      <c r="W125" s="9"/>
      <c r="X125" t="s" s="8">
        <v>6</v>
      </c>
      <c r="Y125" s="253"/>
      <c r="Z125" t="s" s="243">
        <v>6</v>
      </c>
      <c r="AA125" s="253"/>
      <c r="AB125" t="s" s="243">
        <v>6</v>
      </c>
      <c r="AC125" s="253"/>
      <c r="AD125" s="32"/>
      <c r="AE125" s="13"/>
      <c r="AF125" s="7"/>
    </row>
    <row r="126" ht="13.55" customHeight="1">
      <c r="A126" s="155"/>
      <c r="B126" t="s" s="8">
        <v>481</v>
      </c>
      <c r="C126" s="9"/>
      <c r="D126" s="9"/>
      <c r="E126" s="9"/>
      <c r="F126" t="s" s="8">
        <v>8</v>
      </c>
      <c r="G126" s="27"/>
      <c r="H126" t="s" s="8">
        <v>8</v>
      </c>
      <c r="I126" s="27"/>
      <c r="J126" t="s" s="8">
        <v>8</v>
      </c>
      <c r="K126" s="27"/>
      <c r="L126" t="s" s="8">
        <v>8</v>
      </c>
      <c r="M126" s="27"/>
      <c r="N126" t="s" s="8">
        <v>8</v>
      </c>
      <c r="O126" s="27"/>
      <c r="P126" t="s" s="8">
        <v>8</v>
      </c>
      <c r="Q126" s="27"/>
      <c r="R126" t="s" s="8">
        <v>8</v>
      </c>
      <c r="S126" s="9"/>
      <c r="T126" t="s" s="8">
        <v>8</v>
      </c>
      <c r="U126" s="9"/>
      <c r="V126" t="s" s="8">
        <v>8</v>
      </c>
      <c r="W126" s="9"/>
      <c r="X126" t="s" s="8">
        <v>8</v>
      </c>
      <c r="Y126" s="253"/>
      <c r="Z126" t="s" s="243">
        <v>8</v>
      </c>
      <c r="AA126" s="253"/>
      <c r="AB126" t="s" s="243">
        <v>8</v>
      </c>
      <c r="AC126" s="253"/>
      <c r="AD126" s="32"/>
      <c r="AE126" s="13"/>
      <c r="AF126" s="7"/>
    </row>
    <row r="127" ht="13.55" customHeight="1">
      <c r="A127" s="155"/>
      <c r="B127" s="23"/>
      <c r="C127" s="9"/>
      <c r="D127" s="9"/>
      <c r="E127" s="9"/>
      <c r="F127" t="s" s="8">
        <v>10</v>
      </c>
      <c r="G127" s="27"/>
      <c r="H127" t="s" s="8">
        <v>10</v>
      </c>
      <c r="I127" s="34"/>
      <c r="J127" t="s" s="8">
        <v>10</v>
      </c>
      <c r="K127" s="27"/>
      <c r="L127" t="s" s="8">
        <v>10</v>
      </c>
      <c r="M127" s="34"/>
      <c r="N127" t="s" s="8">
        <v>10</v>
      </c>
      <c r="O127" s="34"/>
      <c r="P127" t="s" s="8">
        <v>10</v>
      </c>
      <c r="Q127" s="34"/>
      <c r="R127" t="s" s="8">
        <v>10</v>
      </c>
      <c r="S127" s="9"/>
      <c r="T127" t="s" s="8">
        <v>10</v>
      </c>
      <c r="U127" s="9"/>
      <c r="V127" t="s" s="8">
        <v>10</v>
      </c>
      <c r="W127" s="9"/>
      <c r="X127" t="s" s="8">
        <v>10</v>
      </c>
      <c r="Y127" s="253"/>
      <c r="Z127" t="s" s="243">
        <v>10</v>
      </c>
      <c r="AA127" s="253"/>
      <c r="AB127" t="s" s="243">
        <v>10</v>
      </c>
      <c r="AC127" s="253"/>
      <c r="AD127" s="32"/>
      <c r="AE127" s="13"/>
      <c r="AF127" s="7"/>
    </row>
    <row r="128" ht="13.55" customHeight="1">
      <c r="A128" s="23"/>
      <c r="B128" s="9"/>
      <c r="C128" s="9"/>
      <c r="D128" s="9"/>
      <c r="E128" s="9"/>
      <c r="F128" s="9"/>
      <c r="G128" s="27"/>
      <c r="H128" s="9"/>
      <c r="I128" s="27"/>
      <c r="J128" s="9"/>
      <c r="K128" s="27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253"/>
      <c r="Z128" s="253"/>
      <c r="AA128" s="253"/>
      <c r="AB128" s="253"/>
      <c r="AC128" s="253"/>
      <c r="AD128" s="32"/>
      <c r="AE128" s="13"/>
      <c r="AF128" s="7"/>
    </row>
    <row r="129" ht="13.75" customHeight="1">
      <c r="A129" s="154">
        <v>19</v>
      </c>
      <c r="B129" t="s" s="130">
        <v>482</v>
      </c>
      <c r="C129" s="9"/>
      <c r="D129" s="9"/>
      <c r="E129" t="s" s="8">
        <v>5</v>
      </c>
      <c r="F129" t="s" s="8">
        <v>6</v>
      </c>
      <c r="G129" s="16">
        <v>1107</v>
      </c>
      <c r="H129" t="s" s="8">
        <v>6</v>
      </c>
      <c r="I129" s="16">
        <v>3205</v>
      </c>
      <c r="J129" t="s" s="8">
        <v>6</v>
      </c>
      <c r="K129" s="18"/>
      <c r="L129" t="s" s="8">
        <v>6</v>
      </c>
      <c r="M129" s="18"/>
      <c r="N129" t="s" s="8">
        <v>6</v>
      </c>
      <c r="O129" s="18"/>
      <c r="P129" t="s" s="8">
        <v>6</v>
      </c>
      <c r="Q129" s="18"/>
      <c r="R129" t="s" s="8">
        <v>6</v>
      </c>
      <c r="S129" s="18"/>
      <c r="T129" t="s" s="8">
        <v>6</v>
      </c>
      <c r="U129" s="18"/>
      <c r="V129" t="s" s="8">
        <v>6</v>
      </c>
      <c r="W129" s="18"/>
      <c r="X129" t="s" s="8">
        <v>6</v>
      </c>
      <c r="Y129" s="18"/>
      <c r="Z129" t="s" s="243">
        <v>6</v>
      </c>
      <c r="AA129" s="18"/>
      <c r="AB129" t="s" s="243">
        <v>6</v>
      </c>
      <c r="AC129" s="18"/>
      <c r="AD129" s="13"/>
      <c r="AE129" s="7"/>
      <c r="AF129" s="7"/>
    </row>
    <row r="130" ht="13.55" customHeight="1">
      <c r="A130" s="155"/>
      <c r="B130" s="9"/>
      <c r="C130" s="9"/>
      <c r="D130" s="42"/>
      <c r="E130" s="9"/>
      <c r="F130" t="s" s="8">
        <v>8</v>
      </c>
      <c r="G130" s="26">
        <v>1100</v>
      </c>
      <c r="H130" t="s" s="8">
        <v>8</v>
      </c>
      <c r="I130" s="26">
        <v>1100</v>
      </c>
      <c r="J130" t="s" s="8">
        <v>8</v>
      </c>
      <c r="K130" s="27"/>
      <c r="L130" t="s" s="8">
        <v>8</v>
      </c>
      <c r="M130" s="27"/>
      <c r="N130" t="s" s="8">
        <v>8</v>
      </c>
      <c r="O130" s="27"/>
      <c r="P130" t="s" s="8">
        <v>8</v>
      </c>
      <c r="Q130" s="27"/>
      <c r="R130" t="s" s="8">
        <v>8</v>
      </c>
      <c r="S130" s="27"/>
      <c r="T130" t="s" s="8">
        <v>8</v>
      </c>
      <c r="U130" s="27"/>
      <c r="V130" t="s" s="8">
        <v>8</v>
      </c>
      <c r="W130" s="27"/>
      <c r="X130" t="s" s="8">
        <v>8</v>
      </c>
      <c r="Y130" s="27"/>
      <c r="Z130" t="s" s="243">
        <v>8</v>
      </c>
      <c r="AA130" s="27"/>
      <c r="AB130" t="s" s="243">
        <v>8</v>
      </c>
      <c r="AC130" s="27"/>
      <c r="AD130" s="117" cm="1">
        <f t="array" ref="AD130">G130+I130+K130+M130+O130+Q130+S130+U130+W130+Y130+AA130+AC130</f>
        <v>2200</v>
      </c>
      <c r="AE130" s="50" cm="1">
        <f t="array" ref="AE130">1000*12</f>
        <v>12000</v>
      </c>
      <c r="AF130" s="51" cm="1">
        <f t="array" ref="AF130">AE130-AD130</f>
        <v>9800</v>
      </c>
    </row>
    <row r="131" ht="13.55" customHeight="1">
      <c r="A131" s="155"/>
      <c r="B131" s="9"/>
      <c r="C131" t="s" s="8">
        <v>9</v>
      </c>
      <c r="D131" s="25">
        <v>1000</v>
      </c>
      <c r="E131" s="9"/>
      <c r="F131" t="s" s="8">
        <v>10</v>
      </c>
      <c r="G131" t="s" s="33">
        <v>23</v>
      </c>
      <c r="H131" t="s" s="8">
        <v>10</v>
      </c>
      <c r="I131" t="s" s="33">
        <v>24</v>
      </c>
      <c r="J131" t="s" s="8">
        <v>10</v>
      </c>
      <c r="K131" s="34"/>
      <c r="L131" t="s" s="8">
        <v>10</v>
      </c>
      <c r="M131" s="34"/>
      <c r="N131" t="s" s="8">
        <v>10</v>
      </c>
      <c r="O131" s="34"/>
      <c r="P131" t="s" s="8">
        <v>10</v>
      </c>
      <c r="Q131" s="34"/>
      <c r="R131" t="s" s="8">
        <v>10</v>
      </c>
      <c r="S131" s="34"/>
      <c r="T131" t="s" s="8">
        <v>10</v>
      </c>
      <c r="U131" s="34"/>
      <c r="V131" t="s" s="8">
        <v>10</v>
      </c>
      <c r="W131" s="34"/>
      <c r="X131" t="s" s="8">
        <v>10</v>
      </c>
      <c r="Y131" s="34"/>
      <c r="Z131" t="s" s="243">
        <v>10</v>
      </c>
      <c r="AA131" s="34"/>
      <c r="AB131" t="s" s="243">
        <v>10</v>
      </c>
      <c r="AC131" s="34"/>
      <c r="AD131" s="32"/>
      <c r="AE131" s="13"/>
      <c r="AF131" s="7"/>
    </row>
    <row r="132" ht="13.75" customHeight="1">
      <c r="A132" s="155"/>
      <c r="B132" t="s" s="8">
        <v>483</v>
      </c>
      <c r="C132" s="9"/>
      <c r="D132" s="9"/>
      <c r="E132" t="s" s="8">
        <v>14</v>
      </c>
      <c r="F132" t="s" s="8">
        <v>6</v>
      </c>
      <c r="G132" s="16">
        <v>2036</v>
      </c>
      <c r="H132" t="s" s="8">
        <v>6</v>
      </c>
      <c r="I132" s="16">
        <v>2179</v>
      </c>
      <c r="J132" t="s" s="8">
        <v>6</v>
      </c>
      <c r="K132" s="23"/>
      <c r="L132" t="s" s="8">
        <v>6</v>
      </c>
      <c r="M132" s="18"/>
      <c r="N132" t="s" s="8">
        <v>6</v>
      </c>
      <c r="O132" s="18"/>
      <c r="P132" t="s" s="8">
        <v>6</v>
      </c>
      <c r="Q132" s="18"/>
      <c r="R132" t="s" s="8">
        <v>6</v>
      </c>
      <c r="S132" s="18"/>
      <c r="T132" t="s" s="8">
        <v>6</v>
      </c>
      <c r="U132" s="18"/>
      <c r="V132" t="s" s="8">
        <v>6</v>
      </c>
      <c r="W132" s="18"/>
      <c r="X132" t="s" s="8">
        <v>6</v>
      </c>
      <c r="Y132" s="18"/>
      <c r="Z132" t="s" s="243">
        <v>6</v>
      </c>
      <c r="AA132" s="18"/>
      <c r="AB132" t="s" s="243">
        <v>6</v>
      </c>
      <c r="AC132" s="18"/>
      <c r="AD132" s="32"/>
      <c r="AE132" s="13"/>
      <c r="AF132" s="7"/>
    </row>
    <row r="133" ht="13.55" customHeight="1">
      <c r="A133" s="155"/>
      <c r="B133" t="s" s="8">
        <v>484</v>
      </c>
      <c r="C133" s="9"/>
      <c r="D133" s="9"/>
      <c r="E133" s="9"/>
      <c r="F133" t="s" s="8">
        <v>8</v>
      </c>
      <c r="G133" s="26">
        <v>1200</v>
      </c>
      <c r="H133" t="s" s="8">
        <v>8</v>
      </c>
      <c r="I133" s="26">
        <v>1200</v>
      </c>
      <c r="J133" t="s" s="8">
        <v>8</v>
      </c>
      <c r="K133" s="23"/>
      <c r="L133" t="s" s="8">
        <v>8</v>
      </c>
      <c r="M133" s="27"/>
      <c r="N133" t="s" s="8">
        <v>8</v>
      </c>
      <c r="O133" s="27"/>
      <c r="P133" t="s" s="8">
        <v>8</v>
      </c>
      <c r="Q133" s="27"/>
      <c r="R133" t="s" s="8">
        <v>8</v>
      </c>
      <c r="S133" s="27"/>
      <c r="T133" t="s" s="8">
        <v>8</v>
      </c>
      <c r="U133" s="27"/>
      <c r="V133" t="s" s="8">
        <v>8</v>
      </c>
      <c r="W133" s="27"/>
      <c r="X133" t="s" s="8">
        <v>8</v>
      </c>
      <c r="Y133" s="27"/>
      <c r="Z133" t="s" s="243">
        <v>8</v>
      </c>
      <c r="AA133" s="27"/>
      <c r="AB133" t="s" s="243">
        <v>8</v>
      </c>
      <c r="AC133" s="27"/>
      <c r="AD133" s="117" cm="1">
        <f t="array" ref="AD133">G133+I133+K133+M133+O133+Q133+S133+U133+W133+Y133+AA133+AC133</f>
        <v>2400</v>
      </c>
      <c r="AE133" s="50" cm="1">
        <f t="array" ref="AE133">1100*11</f>
        <v>12100</v>
      </c>
      <c r="AF133" s="51" cm="1">
        <f t="array" ref="AF133">AE133-AD133</f>
        <v>9700</v>
      </c>
    </row>
    <row r="134" ht="13.55" customHeight="1">
      <c r="A134" s="155"/>
      <c r="B134" s="24"/>
      <c r="C134" s="9"/>
      <c r="D134" s="9"/>
      <c r="E134" s="9"/>
      <c r="F134" t="s" s="8">
        <v>10</v>
      </c>
      <c r="G134" t="s" s="33">
        <v>23</v>
      </c>
      <c r="H134" t="s" s="8">
        <v>10</v>
      </c>
      <c r="I134" t="s" s="33">
        <v>24</v>
      </c>
      <c r="J134" t="s" s="8">
        <v>10</v>
      </c>
      <c r="K134" s="23"/>
      <c r="L134" t="s" s="8">
        <v>10</v>
      </c>
      <c r="M134" s="34"/>
      <c r="N134" t="s" s="8">
        <v>10</v>
      </c>
      <c r="O134" s="34"/>
      <c r="P134" t="s" s="8">
        <v>10</v>
      </c>
      <c r="Q134" s="34"/>
      <c r="R134" t="s" s="8">
        <v>10</v>
      </c>
      <c r="S134" s="34"/>
      <c r="T134" t="s" s="8">
        <v>10</v>
      </c>
      <c r="U134" s="34"/>
      <c r="V134" t="s" s="8">
        <v>10</v>
      </c>
      <c r="W134" s="34"/>
      <c r="X134" t="s" s="8">
        <v>10</v>
      </c>
      <c r="Y134" s="34"/>
      <c r="Z134" t="s" s="243">
        <v>10</v>
      </c>
      <c r="AA134" s="34"/>
      <c r="AB134" t="s" s="243">
        <v>10</v>
      </c>
      <c r="AC134" s="34"/>
      <c r="AD134" s="13"/>
      <c r="AE134" s="7"/>
      <c r="AF134" s="7"/>
    </row>
    <row r="135" ht="13.55" customHeight="1">
      <c r="A135" s="23"/>
      <c r="B135" s="71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7"/>
      <c r="AE135" s="7"/>
      <c r="AF135" s="7"/>
    </row>
    <row r="136" ht="13.75" customHeight="1">
      <c r="A136" s="154">
        <v>20</v>
      </c>
      <c r="B136" t="s" s="130">
        <v>485</v>
      </c>
      <c r="C136" s="9"/>
      <c r="D136" s="9"/>
      <c r="E136" t="s" s="8">
        <v>5</v>
      </c>
      <c r="F136" t="s" s="8">
        <v>6</v>
      </c>
      <c r="G136" s="16">
        <v>1118</v>
      </c>
      <c r="H136" t="s" s="8">
        <v>6</v>
      </c>
      <c r="I136" s="16">
        <v>3156</v>
      </c>
      <c r="J136" t="s" s="8">
        <v>6</v>
      </c>
      <c r="K136" s="18"/>
      <c r="L136" t="s" s="8">
        <v>6</v>
      </c>
      <c r="M136" s="18"/>
      <c r="N136" t="s" s="8">
        <v>6</v>
      </c>
      <c r="O136" s="18"/>
      <c r="P136" t="s" s="8">
        <v>6</v>
      </c>
      <c r="Q136" s="18"/>
      <c r="R136" t="s" s="8">
        <v>6</v>
      </c>
      <c r="S136" s="18"/>
      <c r="T136" t="s" s="8">
        <v>6</v>
      </c>
      <c r="U136" s="18"/>
      <c r="V136" t="s" s="8">
        <v>6</v>
      </c>
      <c r="W136" s="18"/>
      <c r="X136" t="s" s="8">
        <v>6</v>
      </c>
      <c r="Y136" s="18"/>
      <c r="Z136" t="s" s="243">
        <v>6</v>
      </c>
      <c r="AA136" s="18"/>
      <c r="AB136" t="s" s="243">
        <v>6</v>
      </c>
      <c r="AC136" s="18"/>
      <c r="AD136" s="13"/>
      <c r="AE136" s="7"/>
      <c r="AF136" s="7"/>
    </row>
    <row r="137" ht="13.55" customHeight="1">
      <c r="A137" s="155"/>
      <c r="B137" s="23"/>
      <c r="C137" s="9"/>
      <c r="D137" s="42"/>
      <c r="E137" s="9"/>
      <c r="F137" t="s" s="8">
        <v>8</v>
      </c>
      <c r="G137" s="26">
        <v>550</v>
      </c>
      <c r="H137" t="s" s="8">
        <v>8</v>
      </c>
      <c r="I137" s="26">
        <v>550</v>
      </c>
      <c r="J137" t="s" s="8">
        <v>8</v>
      </c>
      <c r="K137" s="27"/>
      <c r="L137" t="s" s="8">
        <v>8</v>
      </c>
      <c r="M137" s="27"/>
      <c r="N137" t="s" s="8">
        <v>8</v>
      </c>
      <c r="O137" s="27"/>
      <c r="P137" t="s" s="8">
        <v>8</v>
      </c>
      <c r="Q137" s="27"/>
      <c r="R137" t="s" s="8">
        <v>8</v>
      </c>
      <c r="S137" s="27"/>
      <c r="T137" t="s" s="8">
        <v>8</v>
      </c>
      <c r="U137" s="27"/>
      <c r="V137" t="s" s="8">
        <v>8</v>
      </c>
      <c r="W137" s="27"/>
      <c r="X137" t="s" s="8">
        <v>8</v>
      </c>
      <c r="Y137" s="27"/>
      <c r="Z137" t="s" s="243">
        <v>8</v>
      </c>
      <c r="AA137" s="27"/>
      <c r="AB137" t="s" s="243">
        <v>8</v>
      </c>
      <c r="AC137" s="27"/>
      <c r="AD137" s="117" cm="1">
        <f t="array" ref="AD137">G137+I137+K137+M137+O137+Q137+S137+U137+W137+Y137+AA137+AC137</f>
        <v>1100</v>
      </c>
      <c r="AE137" s="50" cm="1">
        <f t="array" ref="AE137">500*12</f>
        <v>6000</v>
      </c>
      <c r="AF137" s="51" cm="1">
        <f t="array" ref="AF137">AE137-AD137</f>
        <v>4900</v>
      </c>
    </row>
    <row r="138" ht="13.75" customHeight="1">
      <c r="A138" s="155"/>
      <c r="B138" t="s" s="87">
        <v>149</v>
      </c>
      <c r="C138" t="s" s="8">
        <v>9</v>
      </c>
      <c r="D138" s="25">
        <v>1000</v>
      </c>
      <c r="E138" s="9"/>
      <c r="F138" t="s" s="8">
        <v>10</v>
      </c>
      <c r="G138" t="s" s="33">
        <v>93</v>
      </c>
      <c r="H138" t="s" s="8">
        <v>10</v>
      </c>
      <c r="I138" t="s" s="33">
        <v>453</v>
      </c>
      <c r="J138" t="s" s="8">
        <v>10</v>
      </c>
      <c r="K138" s="34"/>
      <c r="L138" t="s" s="8">
        <v>10</v>
      </c>
      <c r="M138" s="34"/>
      <c r="N138" t="s" s="8">
        <v>10</v>
      </c>
      <c r="O138" s="34"/>
      <c r="P138" t="s" s="8">
        <v>10</v>
      </c>
      <c r="Q138" s="34"/>
      <c r="R138" t="s" s="8">
        <v>10</v>
      </c>
      <c r="S138" s="34"/>
      <c r="T138" t="s" s="8">
        <v>10</v>
      </c>
      <c r="U138" s="34"/>
      <c r="V138" t="s" s="8">
        <v>10</v>
      </c>
      <c r="W138" s="34"/>
      <c r="X138" t="s" s="8">
        <v>10</v>
      </c>
      <c r="Y138" s="34"/>
      <c r="Z138" t="s" s="243">
        <v>10</v>
      </c>
      <c r="AA138" s="34"/>
      <c r="AB138" t="s" s="243">
        <v>10</v>
      </c>
      <c r="AC138" s="34"/>
      <c r="AD138" s="32"/>
      <c r="AE138" s="13"/>
      <c r="AF138" s="7"/>
    </row>
    <row r="139" ht="13.75" customHeight="1">
      <c r="A139" s="155"/>
      <c r="B139" t="s" s="8">
        <v>486</v>
      </c>
      <c r="C139" s="9"/>
      <c r="D139" s="9"/>
      <c r="E139" t="s" s="8">
        <v>14</v>
      </c>
      <c r="F139" t="s" s="8">
        <v>6</v>
      </c>
      <c r="G139" s="16">
        <v>2044</v>
      </c>
      <c r="H139" t="s" s="8">
        <v>6</v>
      </c>
      <c r="I139" s="16">
        <v>2143</v>
      </c>
      <c r="J139" t="s" s="8">
        <v>6</v>
      </c>
      <c r="K139" s="23"/>
      <c r="L139" t="s" s="8">
        <v>6</v>
      </c>
      <c r="M139" s="18"/>
      <c r="N139" t="s" s="8">
        <v>6</v>
      </c>
      <c r="O139" s="18"/>
      <c r="P139" t="s" s="8">
        <v>6</v>
      </c>
      <c r="Q139" s="18"/>
      <c r="R139" t="s" s="8">
        <v>6</v>
      </c>
      <c r="S139" s="18"/>
      <c r="T139" t="s" s="8">
        <v>6</v>
      </c>
      <c r="U139" s="18"/>
      <c r="V139" t="s" s="8">
        <v>6</v>
      </c>
      <c r="W139" s="18"/>
      <c r="X139" t="s" s="8">
        <v>6</v>
      </c>
      <c r="Y139" s="18"/>
      <c r="Z139" t="s" s="243">
        <v>6</v>
      </c>
      <c r="AA139" s="18"/>
      <c r="AB139" t="s" s="243">
        <v>6</v>
      </c>
      <c r="AC139" s="18"/>
      <c r="AD139" s="32"/>
      <c r="AE139" s="13"/>
      <c r="AF139" s="7"/>
    </row>
    <row r="140" ht="13.55" customHeight="1">
      <c r="A140" s="155"/>
      <c r="B140" t="s" s="8">
        <v>487</v>
      </c>
      <c r="C140" s="9"/>
      <c r="D140" s="9"/>
      <c r="E140" s="9"/>
      <c r="F140" t="s" s="8">
        <v>8</v>
      </c>
      <c r="G140" s="26">
        <v>600</v>
      </c>
      <c r="H140" t="s" s="8">
        <v>8</v>
      </c>
      <c r="I140" s="26">
        <v>600</v>
      </c>
      <c r="J140" t="s" s="8">
        <v>8</v>
      </c>
      <c r="K140" s="23"/>
      <c r="L140" t="s" s="8">
        <v>8</v>
      </c>
      <c r="M140" s="27"/>
      <c r="N140" t="s" s="8">
        <v>8</v>
      </c>
      <c r="O140" s="27"/>
      <c r="P140" t="s" s="8">
        <v>8</v>
      </c>
      <c r="Q140" s="27"/>
      <c r="R140" t="s" s="8">
        <v>8</v>
      </c>
      <c r="S140" s="27"/>
      <c r="T140" t="s" s="8">
        <v>8</v>
      </c>
      <c r="U140" s="27"/>
      <c r="V140" t="s" s="8">
        <v>8</v>
      </c>
      <c r="W140" s="27"/>
      <c r="X140" t="s" s="8">
        <v>8</v>
      </c>
      <c r="Y140" s="27"/>
      <c r="Z140" t="s" s="243">
        <v>8</v>
      </c>
      <c r="AA140" s="27"/>
      <c r="AB140" t="s" s="243">
        <v>8</v>
      </c>
      <c r="AC140" s="27"/>
      <c r="AD140" s="117" cm="1">
        <f t="array" ref="AD140">G140+I140+K140+M140+O140+Q140+S140+U140+W140+Y140+AA140+AC140</f>
        <v>1200</v>
      </c>
      <c r="AE140" s="50" cm="1">
        <f t="array" ref="AE140">700*11</f>
        <v>7700</v>
      </c>
      <c r="AF140" s="51" cm="1">
        <f t="array" ref="AF140">AE140-AD140</f>
        <v>6500</v>
      </c>
    </row>
    <row r="141" ht="13.55" customHeight="1">
      <c r="A141" s="155"/>
      <c r="B141" s="24"/>
      <c r="C141" s="9"/>
      <c r="D141" s="9"/>
      <c r="E141" s="9"/>
      <c r="F141" t="s" s="8">
        <v>10</v>
      </c>
      <c r="G141" t="s" s="33">
        <v>93</v>
      </c>
      <c r="H141" t="s" s="8">
        <v>10</v>
      </c>
      <c r="I141" t="s" s="33">
        <v>453</v>
      </c>
      <c r="J141" t="s" s="8">
        <v>10</v>
      </c>
      <c r="K141" s="23"/>
      <c r="L141" t="s" s="8">
        <v>10</v>
      </c>
      <c r="M141" s="34"/>
      <c r="N141" t="s" s="8">
        <v>10</v>
      </c>
      <c r="O141" s="34"/>
      <c r="P141" t="s" s="8">
        <v>10</v>
      </c>
      <c r="Q141" s="34"/>
      <c r="R141" t="s" s="8">
        <v>10</v>
      </c>
      <c r="S141" s="34"/>
      <c r="T141" t="s" s="8">
        <v>10</v>
      </c>
      <c r="U141" s="34"/>
      <c r="V141" t="s" s="8">
        <v>10</v>
      </c>
      <c r="W141" s="34"/>
      <c r="X141" t="s" s="8">
        <v>10</v>
      </c>
      <c r="Y141" s="34"/>
      <c r="Z141" t="s" s="243">
        <v>10</v>
      </c>
      <c r="AA141" s="34"/>
      <c r="AB141" t="s" s="243">
        <v>10</v>
      </c>
      <c r="AC141" s="34"/>
      <c r="AD141" s="13"/>
      <c r="AE141" s="7"/>
      <c r="AF141" s="7"/>
    </row>
    <row r="142" ht="13.55" customHeight="1">
      <c r="A142" s="23"/>
      <c r="B142" s="71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7"/>
      <c r="AE142" s="7"/>
      <c r="AF142" s="7"/>
    </row>
    <row r="143" ht="13.75" customHeight="1">
      <c r="A143" s="154">
        <v>21</v>
      </c>
      <c r="B143" t="s" s="130">
        <v>488</v>
      </c>
      <c r="C143" s="9"/>
      <c r="D143" s="9"/>
      <c r="E143" t="s" s="8">
        <v>5</v>
      </c>
      <c r="F143" t="s" s="8">
        <v>6</v>
      </c>
      <c r="G143" s="16">
        <v>1238</v>
      </c>
      <c r="H143" t="s" s="8">
        <v>6</v>
      </c>
      <c r="I143" s="16">
        <v>3250</v>
      </c>
      <c r="J143" t="s" s="8">
        <v>6</v>
      </c>
      <c r="K143" s="18"/>
      <c r="L143" t="s" s="8">
        <v>6</v>
      </c>
      <c r="M143" s="18"/>
      <c r="N143" t="s" s="8">
        <v>6</v>
      </c>
      <c r="O143" s="18"/>
      <c r="P143" t="s" s="8">
        <v>6</v>
      </c>
      <c r="Q143" s="18"/>
      <c r="R143" t="s" s="8">
        <v>6</v>
      </c>
      <c r="S143" s="18"/>
      <c r="T143" t="s" s="8">
        <v>6</v>
      </c>
      <c r="U143" s="18"/>
      <c r="V143" t="s" s="8">
        <v>6</v>
      </c>
      <c r="W143" s="18"/>
      <c r="X143" t="s" s="8">
        <v>6</v>
      </c>
      <c r="Y143" s="18"/>
      <c r="Z143" t="s" s="243">
        <v>6</v>
      </c>
      <c r="AA143" s="18"/>
      <c r="AB143" t="s" s="243">
        <v>6</v>
      </c>
      <c r="AC143" s="18"/>
      <c r="AD143" s="13"/>
      <c r="AE143" s="7"/>
      <c r="AF143" s="7"/>
    </row>
    <row r="144" ht="13.55" customHeight="1">
      <c r="A144" s="155"/>
      <c r="B144" s="23"/>
      <c r="C144" s="9"/>
      <c r="D144" s="42"/>
      <c r="E144" s="9"/>
      <c r="F144" t="s" s="8">
        <v>8</v>
      </c>
      <c r="G144" s="26">
        <v>550</v>
      </c>
      <c r="H144" t="s" s="8">
        <v>8</v>
      </c>
      <c r="I144" s="26">
        <v>550</v>
      </c>
      <c r="J144" t="s" s="8">
        <v>8</v>
      </c>
      <c r="K144" s="27"/>
      <c r="L144" t="s" s="8">
        <v>8</v>
      </c>
      <c r="M144" s="27"/>
      <c r="N144" t="s" s="8">
        <v>8</v>
      </c>
      <c r="O144" s="27"/>
      <c r="P144" t="s" s="8">
        <v>8</v>
      </c>
      <c r="Q144" s="27"/>
      <c r="R144" t="s" s="8">
        <v>8</v>
      </c>
      <c r="S144" s="27"/>
      <c r="T144" t="s" s="8">
        <v>8</v>
      </c>
      <c r="U144" s="27"/>
      <c r="V144" t="s" s="8">
        <v>8</v>
      </c>
      <c r="W144" s="27"/>
      <c r="X144" t="s" s="8">
        <v>8</v>
      </c>
      <c r="Y144" s="27"/>
      <c r="Z144" t="s" s="243">
        <v>8</v>
      </c>
      <c r="AA144" s="27"/>
      <c r="AB144" t="s" s="243">
        <v>8</v>
      </c>
      <c r="AC144" s="27"/>
      <c r="AD144" s="117" cm="1">
        <f t="array" ref="AD144">G144+I144+K144+M144+O144+Q144+S144+U144+W144+Y144+AA144+AC144</f>
        <v>1100</v>
      </c>
      <c r="AE144" s="50" cm="1">
        <f t="array" ref="AE144">500*12</f>
        <v>6000</v>
      </c>
      <c r="AF144" s="51" cm="1">
        <f t="array" ref="AF144">AE144-AD144</f>
        <v>4900</v>
      </c>
    </row>
    <row r="145" ht="13.75" customHeight="1">
      <c r="A145" s="155"/>
      <c r="B145" t="s" s="87">
        <v>149</v>
      </c>
      <c r="C145" t="s" s="8">
        <v>9</v>
      </c>
      <c r="D145" s="25">
        <v>1000</v>
      </c>
      <c r="E145" s="9"/>
      <c r="F145" t="s" s="8">
        <v>10</v>
      </c>
      <c r="G145" t="s" s="33">
        <v>154</v>
      </c>
      <c r="H145" t="s" s="8">
        <v>10</v>
      </c>
      <c r="I145" t="s" s="33">
        <v>489</v>
      </c>
      <c r="J145" t="s" s="8">
        <v>10</v>
      </c>
      <c r="K145" s="34"/>
      <c r="L145" t="s" s="8">
        <v>10</v>
      </c>
      <c r="M145" s="34"/>
      <c r="N145" t="s" s="8">
        <v>10</v>
      </c>
      <c r="O145" s="34"/>
      <c r="P145" t="s" s="8">
        <v>10</v>
      </c>
      <c r="Q145" s="34"/>
      <c r="R145" t="s" s="8">
        <v>10</v>
      </c>
      <c r="S145" s="34"/>
      <c r="T145" t="s" s="8">
        <v>10</v>
      </c>
      <c r="U145" s="34"/>
      <c r="V145" t="s" s="8">
        <v>10</v>
      </c>
      <c r="W145" s="34"/>
      <c r="X145" t="s" s="8">
        <v>10</v>
      </c>
      <c r="Y145" s="34"/>
      <c r="Z145" t="s" s="243">
        <v>10</v>
      </c>
      <c r="AA145" s="34"/>
      <c r="AB145" t="s" s="243">
        <v>10</v>
      </c>
      <c r="AC145" s="34"/>
      <c r="AD145" s="32"/>
      <c r="AE145" s="13"/>
      <c r="AF145" s="7"/>
    </row>
    <row r="146" ht="13.75" customHeight="1">
      <c r="A146" s="155"/>
      <c r="B146" t="s" s="8">
        <v>490</v>
      </c>
      <c r="C146" s="9"/>
      <c r="D146" s="9"/>
      <c r="E146" t="s" s="8">
        <v>14</v>
      </c>
      <c r="F146" t="s" s="8">
        <v>6</v>
      </c>
      <c r="G146" s="16">
        <v>2079</v>
      </c>
      <c r="H146" t="s" s="8">
        <v>6</v>
      </c>
      <c r="I146" s="16">
        <v>2214</v>
      </c>
      <c r="J146" t="s" s="8">
        <v>6</v>
      </c>
      <c r="K146" s="23"/>
      <c r="L146" t="s" s="8">
        <v>6</v>
      </c>
      <c r="M146" s="18"/>
      <c r="N146" t="s" s="8">
        <v>6</v>
      </c>
      <c r="O146" s="18"/>
      <c r="P146" t="s" s="8">
        <v>6</v>
      </c>
      <c r="Q146" s="18"/>
      <c r="R146" t="s" s="8">
        <v>6</v>
      </c>
      <c r="S146" s="18"/>
      <c r="T146" t="s" s="8">
        <v>6</v>
      </c>
      <c r="U146" s="18"/>
      <c r="V146" t="s" s="8">
        <v>6</v>
      </c>
      <c r="W146" s="18"/>
      <c r="X146" t="s" s="8">
        <v>6</v>
      </c>
      <c r="Y146" s="18"/>
      <c r="Z146" t="s" s="243">
        <v>6</v>
      </c>
      <c r="AA146" s="18"/>
      <c r="AB146" t="s" s="243">
        <v>6</v>
      </c>
      <c r="AC146" s="18"/>
      <c r="AD146" s="32"/>
      <c r="AE146" s="13"/>
      <c r="AF146" s="7"/>
    </row>
    <row r="147" ht="13.55" customHeight="1">
      <c r="A147" s="155"/>
      <c r="B147" t="s" s="8">
        <v>491</v>
      </c>
      <c r="C147" s="9"/>
      <c r="D147" s="9"/>
      <c r="E147" s="9"/>
      <c r="F147" t="s" s="8">
        <v>8</v>
      </c>
      <c r="G147" s="26">
        <v>600</v>
      </c>
      <c r="H147" t="s" s="8">
        <v>8</v>
      </c>
      <c r="I147" s="26">
        <v>600</v>
      </c>
      <c r="J147" t="s" s="8">
        <v>8</v>
      </c>
      <c r="K147" s="23"/>
      <c r="L147" t="s" s="8">
        <v>8</v>
      </c>
      <c r="M147" s="27"/>
      <c r="N147" t="s" s="8">
        <v>8</v>
      </c>
      <c r="O147" s="27"/>
      <c r="P147" t="s" s="8">
        <v>8</v>
      </c>
      <c r="Q147" s="27"/>
      <c r="R147" t="s" s="8">
        <v>8</v>
      </c>
      <c r="S147" s="27"/>
      <c r="T147" t="s" s="8">
        <v>8</v>
      </c>
      <c r="U147" s="27"/>
      <c r="V147" t="s" s="8">
        <v>8</v>
      </c>
      <c r="W147" s="27"/>
      <c r="X147" t="s" s="8">
        <v>8</v>
      </c>
      <c r="Y147" s="27"/>
      <c r="Z147" t="s" s="243">
        <v>8</v>
      </c>
      <c r="AA147" s="27"/>
      <c r="AB147" t="s" s="243">
        <v>8</v>
      </c>
      <c r="AC147" s="27"/>
      <c r="AD147" s="117" cm="1">
        <f t="array" ref="AD147">G147+I147+K147+M147+O147+Q147+S147+U147+W147+Y147+AA147+AC147</f>
        <v>1200</v>
      </c>
      <c r="AE147" s="50" cm="1">
        <f t="array" ref="AE147">500*11</f>
        <v>5500</v>
      </c>
      <c r="AF147" s="51" cm="1">
        <f t="array" ref="AF147">AE147-AD147</f>
        <v>4300</v>
      </c>
    </row>
    <row r="148" ht="13.55" customHeight="1">
      <c r="A148" s="155"/>
      <c r="B148" s="24"/>
      <c r="C148" s="9"/>
      <c r="D148" s="9"/>
      <c r="E148" s="9"/>
      <c r="F148" t="s" s="8">
        <v>10</v>
      </c>
      <c r="G148" t="s" s="33">
        <v>70</v>
      </c>
      <c r="H148" t="s" s="8">
        <v>10</v>
      </c>
      <c r="I148" t="s" s="33">
        <v>489</v>
      </c>
      <c r="J148" t="s" s="8">
        <v>10</v>
      </c>
      <c r="K148" s="23"/>
      <c r="L148" t="s" s="8">
        <v>10</v>
      </c>
      <c r="M148" s="34"/>
      <c r="N148" t="s" s="8">
        <v>10</v>
      </c>
      <c r="O148" s="34"/>
      <c r="P148" t="s" s="8">
        <v>10</v>
      </c>
      <c r="Q148" s="34"/>
      <c r="R148" t="s" s="8">
        <v>10</v>
      </c>
      <c r="S148" s="34"/>
      <c r="T148" t="s" s="8">
        <v>10</v>
      </c>
      <c r="U148" s="34"/>
      <c r="V148" t="s" s="8">
        <v>10</v>
      </c>
      <c r="W148" s="34"/>
      <c r="X148" t="s" s="8">
        <v>10</v>
      </c>
      <c r="Y148" s="34"/>
      <c r="Z148" t="s" s="243">
        <v>10</v>
      </c>
      <c r="AA148" s="34"/>
      <c r="AB148" t="s" s="243">
        <v>10</v>
      </c>
      <c r="AC148" s="34"/>
      <c r="AD148" s="13"/>
      <c r="AE148" s="7"/>
      <c r="AF148" s="7"/>
    </row>
    <row r="149" ht="13.55" customHeight="1">
      <c r="A149" s="23"/>
      <c r="B149" s="71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7"/>
      <c r="AE149" s="7"/>
      <c r="AF149" s="7"/>
    </row>
    <row r="150" ht="13.75" customHeight="1">
      <c r="A150" s="154">
        <v>22</v>
      </c>
      <c r="B150" t="s" s="130">
        <v>492</v>
      </c>
      <c r="C150" s="23"/>
      <c r="D150" s="23"/>
      <c r="E150" t="s" s="8">
        <v>5</v>
      </c>
      <c r="F150" t="s" s="8">
        <v>6</v>
      </c>
      <c r="G150" s="16">
        <v>1177</v>
      </c>
      <c r="H150" t="s" s="8">
        <v>6</v>
      </c>
      <c r="I150" s="16">
        <v>1212</v>
      </c>
      <c r="J150" t="s" s="8">
        <v>6</v>
      </c>
      <c r="K150" s="16">
        <v>1212</v>
      </c>
      <c r="L150" t="s" s="8">
        <v>6</v>
      </c>
      <c r="M150" s="18"/>
      <c r="N150" t="s" s="8">
        <v>6</v>
      </c>
      <c r="O150" s="18"/>
      <c r="P150" t="s" s="8">
        <v>6</v>
      </c>
      <c r="Q150" s="18"/>
      <c r="R150" t="s" s="8">
        <v>6</v>
      </c>
      <c r="S150" s="18"/>
      <c r="T150" t="s" s="8">
        <v>6</v>
      </c>
      <c r="U150" s="18"/>
      <c r="V150" t="s" s="8">
        <v>6</v>
      </c>
      <c r="W150" s="18"/>
      <c r="X150" t="s" s="8">
        <v>6</v>
      </c>
      <c r="Y150" s="18"/>
      <c r="Z150" t="s" s="243">
        <v>6</v>
      </c>
      <c r="AA150" s="18"/>
      <c r="AB150" t="s" s="243">
        <v>6</v>
      </c>
      <c r="AC150" s="18"/>
      <c r="AD150" s="13"/>
      <c r="AE150" s="7"/>
      <c r="AF150" s="7"/>
    </row>
    <row r="151" ht="13.55" customHeight="1">
      <c r="A151" s="155"/>
      <c r="B151" s="9"/>
      <c r="C151" s="253"/>
      <c r="D151" s="42"/>
      <c r="E151" t="s" s="33">
        <v>39</v>
      </c>
      <c r="F151" t="s" s="8">
        <v>8</v>
      </c>
      <c r="G151" s="26">
        <v>1100</v>
      </c>
      <c r="H151" t="s" s="8">
        <v>8</v>
      </c>
      <c r="I151" s="26">
        <v>1100</v>
      </c>
      <c r="J151" t="s" s="8">
        <v>8</v>
      </c>
      <c r="K151" s="26">
        <v>1100</v>
      </c>
      <c r="L151" t="s" s="8">
        <v>8</v>
      </c>
      <c r="M151" s="27"/>
      <c r="N151" t="s" s="8">
        <v>8</v>
      </c>
      <c r="O151" s="27"/>
      <c r="P151" t="s" s="8">
        <v>8</v>
      </c>
      <c r="Q151" s="27"/>
      <c r="R151" t="s" s="8">
        <v>8</v>
      </c>
      <c r="S151" s="27"/>
      <c r="T151" t="s" s="8">
        <v>8</v>
      </c>
      <c r="U151" s="27"/>
      <c r="V151" t="s" s="8">
        <v>8</v>
      </c>
      <c r="W151" s="27"/>
      <c r="X151" t="s" s="8">
        <v>8</v>
      </c>
      <c r="Y151" s="27"/>
      <c r="Z151" t="s" s="243">
        <v>8</v>
      </c>
      <c r="AA151" s="27"/>
      <c r="AB151" t="s" s="243">
        <v>8</v>
      </c>
      <c r="AC151" s="27"/>
      <c r="AD151" s="117" cm="1">
        <f t="array" ref="AD151">G151+I151+K151+M151+O151+Q151+S151+U151+W151+Y151+AA151+AC151</f>
        <v>3300</v>
      </c>
      <c r="AE151" s="50" cm="1">
        <f t="array" ref="AE151">1000*12</f>
        <v>12000</v>
      </c>
      <c r="AF151" s="51" cm="1">
        <f t="array" ref="AF151">AE151-AD151</f>
        <v>8700</v>
      </c>
    </row>
    <row r="152" ht="13.55" customHeight="1">
      <c r="A152" s="155"/>
      <c r="B152" s="9"/>
      <c r="C152" t="s" s="243">
        <v>9</v>
      </c>
      <c r="D152" s="25">
        <v>1000</v>
      </c>
      <c r="E152" s="9"/>
      <c r="F152" t="s" s="8">
        <v>10</v>
      </c>
      <c r="G152" t="s" s="33">
        <v>39</v>
      </c>
      <c r="H152" t="s" s="8">
        <v>10</v>
      </c>
      <c r="I152" t="s" s="33">
        <v>370</v>
      </c>
      <c r="J152" t="s" s="8">
        <v>10</v>
      </c>
      <c r="K152" t="s" s="33">
        <v>370</v>
      </c>
      <c r="L152" t="s" s="8">
        <v>10</v>
      </c>
      <c r="M152" s="34"/>
      <c r="N152" t="s" s="8">
        <v>10</v>
      </c>
      <c r="O152" s="34"/>
      <c r="P152" t="s" s="8">
        <v>10</v>
      </c>
      <c r="Q152" s="34"/>
      <c r="R152" t="s" s="8">
        <v>10</v>
      </c>
      <c r="S152" s="34"/>
      <c r="T152" t="s" s="8">
        <v>10</v>
      </c>
      <c r="U152" s="34"/>
      <c r="V152" t="s" s="8">
        <v>10</v>
      </c>
      <c r="W152" s="34"/>
      <c r="X152" t="s" s="8">
        <v>10</v>
      </c>
      <c r="Y152" s="34"/>
      <c r="Z152" t="s" s="243">
        <v>10</v>
      </c>
      <c r="AA152" s="34"/>
      <c r="AB152" t="s" s="243">
        <v>10</v>
      </c>
      <c r="AC152" s="34"/>
      <c r="AD152" s="32"/>
      <c r="AE152" s="13"/>
      <c r="AF152" s="7"/>
    </row>
    <row r="153" ht="13.75" customHeight="1">
      <c r="A153" s="155"/>
      <c r="B153" t="s" s="8">
        <v>493</v>
      </c>
      <c r="C153" s="23"/>
      <c r="D153" s="23"/>
      <c r="E153" t="s" s="8">
        <v>14</v>
      </c>
      <c r="F153" t="s" s="8">
        <v>6</v>
      </c>
      <c r="G153" s="16">
        <v>2119</v>
      </c>
      <c r="H153" t="s" s="8">
        <v>6</v>
      </c>
      <c r="I153" s="18"/>
      <c r="J153" t="s" s="8">
        <v>6</v>
      </c>
      <c r="K153" s="23"/>
      <c r="L153" t="s" s="8">
        <v>6</v>
      </c>
      <c r="M153" s="18"/>
      <c r="N153" t="s" s="8">
        <v>6</v>
      </c>
      <c r="O153" s="18"/>
      <c r="P153" t="s" s="8">
        <v>6</v>
      </c>
      <c r="Q153" s="18"/>
      <c r="R153" t="s" s="8">
        <v>6</v>
      </c>
      <c r="S153" s="18"/>
      <c r="T153" t="s" s="8">
        <v>6</v>
      </c>
      <c r="U153" s="18"/>
      <c r="V153" t="s" s="8">
        <v>6</v>
      </c>
      <c r="W153" s="18"/>
      <c r="X153" t="s" s="8">
        <v>6</v>
      </c>
      <c r="Y153" s="18"/>
      <c r="Z153" t="s" s="243">
        <v>6</v>
      </c>
      <c r="AA153" s="18"/>
      <c r="AB153" t="s" s="243">
        <v>6</v>
      </c>
      <c r="AC153" s="18"/>
      <c r="AD153" s="32"/>
      <c r="AE153" s="13"/>
      <c r="AF153" s="7"/>
    </row>
    <row r="154" ht="13.55" customHeight="1">
      <c r="A154" s="155"/>
      <c r="B154" t="s" s="8">
        <v>494</v>
      </c>
      <c r="C154" s="23"/>
      <c r="D154" s="23"/>
      <c r="E154" s="9"/>
      <c r="F154" t="s" s="8">
        <v>8</v>
      </c>
      <c r="G154" s="26">
        <v>600</v>
      </c>
      <c r="H154" t="s" s="8">
        <v>8</v>
      </c>
      <c r="I154" s="27"/>
      <c r="J154" t="s" s="8">
        <v>8</v>
      </c>
      <c r="K154" s="23"/>
      <c r="L154" t="s" s="8">
        <v>8</v>
      </c>
      <c r="M154" s="27"/>
      <c r="N154" t="s" s="8">
        <v>8</v>
      </c>
      <c r="O154" s="27"/>
      <c r="P154" t="s" s="8">
        <v>8</v>
      </c>
      <c r="Q154" s="27"/>
      <c r="R154" t="s" s="8">
        <v>8</v>
      </c>
      <c r="S154" s="27"/>
      <c r="T154" t="s" s="8">
        <v>8</v>
      </c>
      <c r="U154" s="27"/>
      <c r="V154" t="s" s="8">
        <v>8</v>
      </c>
      <c r="W154" s="27"/>
      <c r="X154" t="s" s="8">
        <v>8</v>
      </c>
      <c r="Y154" s="27"/>
      <c r="Z154" t="s" s="243">
        <v>8</v>
      </c>
      <c r="AA154" s="27"/>
      <c r="AB154" t="s" s="243">
        <v>8</v>
      </c>
      <c r="AC154" s="27"/>
      <c r="AD154" s="117" cm="1">
        <f t="array" ref="AD154">G154+I154+K154+M154+O154+Q154+S154+U154+W154+Y154+AA154+AC154</f>
        <v>600</v>
      </c>
      <c r="AE154" s="50" cm="1">
        <f t="array" ref="AE154">500*11</f>
        <v>5500</v>
      </c>
      <c r="AF154" s="51" cm="1">
        <f t="array" ref="AF154">AE154-AD154</f>
        <v>4900</v>
      </c>
    </row>
    <row r="155" ht="13.55" customHeight="1">
      <c r="A155" s="155"/>
      <c r="B155" s="24"/>
      <c r="C155" s="23"/>
      <c r="D155" s="23"/>
      <c r="E155" s="9"/>
      <c r="F155" t="s" s="8">
        <v>10</v>
      </c>
      <c r="G155" t="s" s="33">
        <v>370</v>
      </c>
      <c r="H155" t="s" s="8">
        <v>10</v>
      </c>
      <c r="I155" s="34"/>
      <c r="J155" t="s" s="8">
        <v>10</v>
      </c>
      <c r="K155" s="23"/>
      <c r="L155" t="s" s="8">
        <v>10</v>
      </c>
      <c r="M155" s="34"/>
      <c r="N155" t="s" s="8">
        <v>10</v>
      </c>
      <c r="O155" s="34"/>
      <c r="P155" t="s" s="8">
        <v>10</v>
      </c>
      <c r="Q155" s="34"/>
      <c r="R155" t="s" s="8">
        <v>10</v>
      </c>
      <c r="S155" s="34"/>
      <c r="T155" t="s" s="8">
        <v>10</v>
      </c>
      <c r="U155" s="34"/>
      <c r="V155" t="s" s="8">
        <v>10</v>
      </c>
      <c r="W155" s="34"/>
      <c r="X155" t="s" s="8">
        <v>10</v>
      </c>
      <c r="Y155" s="34"/>
      <c r="Z155" t="s" s="243">
        <v>10</v>
      </c>
      <c r="AA155" s="34"/>
      <c r="AB155" t="s" s="243">
        <v>10</v>
      </c>
      <c r="AC155" s="34"/>
      <c r="AD155" s="13"/>
      <c r="AE155" s="7"/>
      <c r="AF155" s="7"/>
    </row>
    <row r="156" ht="13.55" customHeight="1">
      <c r="A156" s="23"/>
      <c r="B156" s="71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7"/>
      <c r="AE156" s="7"/>
      <c r="AF156" s="7"/>
    </row>
    <row r="157" ht="13.75" customHeight="1">
      <c r="A157" s="154">
        <v>23</v>
      </c>
      <c r="B157" t="s" s="130">
        <v>495</v>
      </c>
      <c r="C157" s="9"/>
      <c r="D157" s="9"/>
      <c r="E157" t="s" s="8">
        <v>5</v>
      </c>
      <c r="F157" t="s" s="8">
        <v>6</v>
      </c>
      <c r="G157" s="16">
        <v>1075</v>
      </c>
      <c r="H157" t="s" s="8">
        <v>6</v>
      </c>
      <c r="I157" s="18"/>
      <c r="J157" t="s" s="8">
        <v>6</v>
      </c>
      <c r="K157" s="18"/>
      <c r="L157" t="s" s="8">
        <v>6</v>
      </c>
      <c r="M157" s="263"/>
      <c r="N157" t="s" s="8">
        <v>6</v>
      </c>
      <c r="O157" s="18"/>
      <c r="P157" t="s" s="8">
        <v>6</v>
      </c>
      <c r="Q157" s="18"/>
      <c r="R157" t="s" s="8">
        <v>6</v>
      </c>
      <c r="S157" s="18"/>
      <c r="T157" t="s" s="8">
        <v>6</v>
      </c>
      <c r="U157" s="18"/>
      <c r="V157" t="s" s="8">
        <v>6</v>
      </c>
      <c r="W157" s="18"/>
      <c r="X157" t="s" s="8">
        <v>6</v>
      </c>
      <c r="Y157" s="18"/>
      <c r="Z157" t="s" s="243">
        <v>6</v>
      </c>
      <c r="AA157" s="18"/>
      <c r="AB157" t="s" s="243">
        <v>6</v>
      </c>
      <c r="AC157" s="18"/>
      <c r="AD157" s="13"/>
      <c r="AE157" s="7"/>
      <c r="AF157" s="7"/>
    </row>
    <row r="158" ht="13.55" customHeight="1">
      <c r="A158" s="155"/>
      <c r="B158" s="9"/>
      <c r="C158" s="9"/>
      <c r="D158" s="42"/>
      <c r="E158" s="9"/>
      <c r="F158" t="s" s="8">
        <v>8</v>
      </c>
      <c r="G158" s="26">
        <v>1100</v>
      </c>
      <c r="H158" t="s" s="8">
        <v>8</v>
      </c>
      <c r="I158" s="27"/>
      <c r="J158" t="s" s="8">
        <v>8</v>
      </c>
      <c r="K158" s="27"/>
      <c r="L158" t="s" s="8">
        <v>8</v>
      </c>
      <c r="M158" s="264"/>
      <c r="N158" t="s" s="8">
        <v>8</v>
      </c>
      <c r="O158" s="27"/>
      <c r="P158" t="s" s="8">
        <v>8</v>
      </c>
      <c r="Q158" s="27"/>
      <c r="R158" t="s" s="8">
        <v>8</v>
      </c>
      <c r="S158" s="27"/>
      <c r="T158" t="s" s="8">
        <v>8</v>
      </c>
      <c r="U158" s="27"/>
      <c r="V158" t="s" s="8">
        <v>8</v>
      </c>
      <c r="W158" s="27"/>
      <c r="X158" t="s" s="8">
        <v>8</v>
      </c>
      <c r="Y158" s="27"/>
      <c r="Z158" t="s" s="243">
        <v>8</v>
      </c>
      <c r="AA158" s="27"/>
      <c r="AB158" t="s" s="243">
        <v>8</v>
      </c>
      <c r="AC158" s="27"/>
      <c r="AD158" s="32" cm="1">
        <f t="array" ref="AD158">G158+I158+K158+M158+O158+Q158+S158+U158+W158+Y158+AA158+AC158</f>
      </c>
      <c r="AE158" s="50" cm="1">
        <f t="array" ref="AE158">1000*12</f>
        <v>12000</v>
      </c>
      <c r="AF158" s="7" cm="1">
        <f t="array" ref="AF158">AE158-AD158</f>
      </c>
    </row>
    <row r="159" ht="13.55" customHeight="1">
      <c r="A159" s="155"/>
      <c r="B159" s="9"/>
      <c r="C159" t="s" s="8">
        <v>9</v>
      </c>
      <c r="D159" s="25">
        <v>1000</v>
      </c>
      <c r="E159" s="9"/>
      <c r="F159" t="s" s="8">
        <v>10</v>
      </c>
      <c r="G159" t="s" s="33">
        <v>17</v>
      </c>
      <c r="H159" t="s" s="8">
        <v>10</v>
      </c>
      <c r="I159" s="34"/>
      <c r="J159" t="s" s="8">
        <v>10</v>
      </c>
      <c r="K159" s="34"/>
      <c r="L159" t="s" s="8">
        <v>10</v>
      </c>
      <c r="M159" s="265"/>
      <c r="N159" t="s" s="8">
        <v>10</v>
      </c>
      <c r="O159" s="34"/>
      <c r="P159" t="s" s="8">
        <v>10</v>
      </c>
      <c r="Q159" s="34"/>
      <c r="R159" t="s" s="8">
        <v>10</v>
      </c>
      <c r="S159" s="34"/>
      <c r="T159" t="s" s="8">
        <v>10</v>
      </c>
      <c r="U159" s="34"/>
      <c r="V159" t="s" s="8">
        <v>10</v>
      </c>
      <c r="W159" s="34"/>
      <c r="X159" t="s" s="8">
        <v>10</v>
      </c>
      <c r="Y159" s="34"/>
      <c r="Z159" t="s" s="243">
        <v>10</v>
      </c>
      <c r="AA159" s="34"/>
      <c r="AB159" t="s" s="243">
        <v>10</v>
      </c>
      <c r="AC159" s="34"/>
      <c r="AD159" s="32"/>
      <c r="AE159" s="13"/>
      <c r="AF159" s="7"/>
    </row>
    <row r="160" ht="13.75" customHeight="1">
      <c r="A160" s="155"/>
      <c r="B160" t="s" s="8">
        <v>496</v>
      </c>
      <c r="C160" s="9"/>
      <c r="D160" s="9"/>
      <c r="E160" t="s" s="8">
        <v>14</v>
      </c>
      <c r="F160" t="s" s="8">
        <v>6</v>
      </c>
      <c r="G160" s="16">
        <v>2015</v>
      </c>
      <c r="H160" t="s" s="8">
        <v>6</v>
      </c>
      <c r="I160" s="18"/>
      <c r="J160" t="s" s="8">
        <v>6</v>
      </c>
      <c r="K160" s="23"/>
      <c r="L160" t="s" s="8">
        <v>6</v>
      </c>
      <c r="M160" s="263"/>
      <c r="N160" t="s" s="8">
        <v>6</v>
      </c>
      <c r="O160" s="18"/>
      <c r="P160" t="s" s="8">
        <v>6</v>
      </c>
      <c r="Q160" s="18"/>
      <c r="R160" t="s" s="8">
        <v>6</v>
      </c>
      <c r="S160" s="18"/>
      <c r="T160" t="s" s="8">
        <v>6</v>
      </c>
      <c r="U160" s="18"/>
      <c r="V160" t="s" s="8">
        <v>6</v>
      </c>
      <c r="W160" s="18"/>
      <c r="X160" t="s" s="243">
        <v>6</v>
      </c>
      <c r="Y160" s="18"/>
      <c r="Z160" t="s" s="243">
        <v>6</v>
      </c>
      <c r="AA160" s="18"/>
      <c r="AB160" t="s" s="243">
        <v>6</v>
      </c>
      <c r="AC160" s="18"/>
      <c r="AD160" s="32"/>
      <c r="AE160" s="13"/>
      <c r="AF160" s="7"/>
    </row>
    <row r="161" ht="13.55" customHeight="1">
      <c r="A161" s="155"/>
      <c r="B161" t="s" s="8">
        <v>497</v>
      </c>
      <c r="C161" s="9"/>
      <c r="D161" s="9"/>
      <c r="E161" s="9"/>
      <c r="F161" t="s" s="8">
        <v>8</v>
      </c>
      <c r="G161" s="26">
        <v>600</v>
      </c>
      <c r="H161" t="s" s="8">
        <v>8</v>
      </c>
      <c r="I161" s="27"/>
      <c r="J161" t="s" s="8">
        <v>8</v>
      </c>
      <c r="K161" s="23"/>
      <c r="L161" t="s" s="8">
        <v>8</v>
      </c>
      <c r="M161" s="264"/>
      <c r="N161" t="s" s="8">
        <v>8</v>
      </c>
      <c r="O161" s="27"/>
      <c r="P161" t="s" s="8">
        <v>8</v>
      </c>
      <c r="Q161" s="27"/>
      <c r="R161" t="s" s="8">
        <v>8</v>
      </c>
      <c r="S161" s="27"/>
      <c r="T161" t="s" s="8">
        <v>8</v>
      </c>
      <c r="U161" s="27"/>
      <c r="V161" t="s" s="8">
        <v>8</v>
      </c>
      <c r="W161" s="27"/>
      <c r="X161" t="s" s="243">
        <v>8</v>
      </c>
      <c r="Y161" s="27"/>
      <c r="Z161" t="s" s="243">
        <v>8</v>
      </c>
      <c r="AA161" s="27"/>
      <c r="AB161" t="s" s="243">
        <v>8</v>
      </c>
      <c r="AC161" s="27"/>
      <c r="AD161" s="32" cm="1">
        <f t="array" ref="AD161">G161+I161+K161+M161+O161+Q161+S161+U161+W161+Y161+AA161+AC161</f>
      </c>
      <c r="AE161" s="50" cm="1">
        <f t="array" ref="AE161">500*11</f>
        <v>5500</v>
      </c>
      <c r="AF161" s="7" cm="1">
        <f t="array" ref="AF161">AE161-AD161</f>
      </c>
    </row>
    <row r="162" ht="13.55" customHeight="1">
      <c r="A162" s="155"/>
      <c r="B162" s="24"/>
      <c r="C162" s="9"/>
      <c r="D162" s="9"/>
      <c r="E162" s="9"/>
      <c r="F162" t="s" s="8">
        <v>10</v>
      </c>
      <c r="G162" t="s" s="33">
        <v>17</v>
      </c>
      <c r="H162" t="s" s="8">
        <v>10</v>
      </c>
      <c r="I162" s="34"/>
      <c r="J162" t="s" s="8">
        <v>10</v>
      </c>
      <c r="K162" s="23"/>
      <c r="L162" t="s" s="8">
        <v>10</v>
      </c>
      <c r="M162" s="265"/>
      <c r="N162" t="s" s="8">
        <v>10</v>
      </c>
      <c r="O162" s="34"/>
      <c r="P162" t="s" s="8">
        <v>10</v>
      </c>
      <c r="Q162" s="34"/>
      <c r="R162" t="s" s="8">
        <v>10</v>
      </c>
      <c r="S162" s="34"/>
      <c r="T162" t="s" s="8">
        <v>10</v>
      </c>
      <c r="U162" s="34"/>
      <c r="V162" t="s" s="8">
        <v>10</v>
      </c>
      <c r="W162" s="34"/>
      <c r="X162" t="s" s="243">
        <v>10</v>
      </c>
      <c r="Y162" s="34"/>
      <c r="Z162" t="s" s="243">
        <v>10</v>
      </c>
      <c r="AA162" s="34"/>
      <c r="AB162" t="s" s="243">
        <v>10</v>
      </c>
      <c r="AC162" s="34"/>
      <c r="AD162" s="13"/>
      <c r="AE162" s="7"/>
      <c r="AF162" s="7"/>
    </row>
    <row r="163" ht="13.55" customHeight="1">
      <c r="A163" s="23"/>
      <c r="B163" s="71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7"/>
      <c r="AE163" s="7"/>
      <c r="AF163" s="7"/>
    </row>
    <row r="164" ht="13.75" customHeight="1">
      <c r="A164" s="154">
        <v>24</v>
      </c>
      <c r="B164" t="s" s="130">
        <v>498</v>
      </c>
      <c r="C164" s="9"/>
      <c r="D164" s="9"/>
      <c r="E164" t="s" s="8">
        <v>5</v>
      </c>
      <c r="F164" t="s" s="8">
        <v>6</v>
      </c>
      <c r="G164" s="16">
        <v>1193</v>
      </c>
      <c r="H164" t="s" s="8">
        <v>6</v>
      </c>
      <c r="I164" s="16">
        <v>3171</v>
      </c>
      <c r="J164" t="s" s="8">
        <v>6</v>
      </c>
      <c r="K164" s="18"/>
      <c r="L164" t="s" s="8">
        <v>6</v>
      </c>
      <c r="M164" s="18"/>
      <c r="N164" t="s" s="8">
        <v>6</v>
      </c>
      <c r="O164" s="18"/>
      <c r="P164" t="s" s="8">
        <v>6</v>
      </c>
      <c r="Q164" s="18"/>
      <c r="R164" t="s" s="8">
        <v>6</v>
      </c>
      <c r="S164" s="18"/>
      <c r="T164" t="s" s="8">
        <v>6</v>
      </c>
      <c r="U164" s="18"/>
      <c r="V164" t="s" s="8">
        <v>6</v>
      </c>
      <c r="W164" s="18"/>
      <c r="X164" t="s" s="8">
        <v>6</v>
      </c>
      <c r="Y164" s="18"/>
      <c r="Z164" t="s" s="243">
        <v>6</v>
      </c>
      <c r="AA164" s="18"/>
      <c r="AB164" t="s" s="243">
        <v>6</v>
      </c>
      <c r="AC164" s="18"/>
      <c r="AD164" s="13"/>
      <c r="AE164" s="7"/>
      <c r="AF164" s="7"/>
    </row>
    <row r="165" ht="13.55" customHeight="1">
      <c r="A165" s="155"/>
      <c r="B165" s="9"/>
      <c r="C165" s="9"/>
      <c r="D165" s="42"/>
      <c r="E165" s="9"/>
      <c r="F165" t="s" s="8">
        <v>8</v>
      </c>
      <c r="G165" s="26">
        <v>1100</v>
      </c>
      <c r="H165" t="s" s="8">
        <v>8</v>
      </c>
      <c r="I165" s="26">
        <v>1100</v>
      </c>
      <c r="J165" t="s" s="8">
        <v>8</v>
      </c>
      <c r="K165" s="27"/>
      <c r="L165" t="s" s="8">
        <v>8</v>
      </c>
      <c r="M165" s="27"/>
      <c r="N165" t="s" s="8">
        <v>8</v>
      </c>
      <c r="O165" s="27"/>
      <c r="P165" t="s" s="8">
        <v>8</v>
      </c>
      <c r="Q165" s="27"/>
      <c r="R165" t="s" s="8">
        <v>8</v>
      </c>
      <c r="S165" s="27"/>
      <c r="T165" t="s" s="8">
        <v>8</v>
      </c>
      <c r="U165" s="27"/>
      <c r="V165" t="s" s="8">
        <v>8</v>
      </c>
      <c r="W165" s="27"/>
      <c r="X165" t="s" s="8">
        <v>8</v>
      </c>
      <c r="Y165" s="27"/>
      <c r="Z165" t="s" s="243">
        <v>8</v>
      </c>
      <c r="AA165" s="27"/>
      <c r="AB165" t="s" s="243">
        <v>8</v>
      </c>
      <c r="AC165" s="27"/>
      <c r="AD165" s="117" cm="1">
        <f t="array" ref="AD165">G165+I165+K165+M165+O165+Q165+S165+U165+W165+Y165+AA165+AC165</f>
        <v>2200</v>
      </c>
      <c r="AE165" s="50" cm="1">
        <f t="array" ref="AE165">1000*12</f>
        <v>12000</v>
      </c>
      <c r="AF165" s="51" cm="1">
        <f t="array" ref="AF165">AE165-AD165</f>
        <v>9800</v>
      </c>
    </row>
    <row r="166" ht="13.55" customHeight="1">
      <c r="A166" s="155"/>
      <c r="B166" s="9"/>
      <c r="C166" t="s" s="8">
        <v>9</v>
      </c>
      <c r="D166" s="25">
        <v>1000</v>
      </c>
      <c r="E166" s="9"/>
      <c r="F166" t="s" s="8">
        <v>10</v>
      </c>
      <c r="G166" t="s" s="33">
        <v>74</v>
      </c>
      <c r="H166" t="s" s="8">
        <v>10</v>
      </c>
      <c r="I166" t="s" s="33">
        <v>86</v>
      </c>
      <c r="J166" t="s" s="8">
        <v>10</v>
      </c>
      <c r="K166" s="34"/>
      <c r="L166" t="s" s="8">
        <v>10</v>
      </c>
      <c r="M166" s="34"/>
      <c r="N166" t="s" s="8">
        <v>10</v>
      </c>
      <c r="O166" s="34"/>
      <c r="P166" t="s" s="8">
        <v>10</v>
      </c>
      <c r="Q166" s="34"/>
      <c r="R166" t="s" s="8">
        <v>10</v>
      </c>
      <c r="S166" s="34"/>
      <c r="T166" t="s" s="8">
        <v>10</v>
      </c>
      <c r="U166" s="34"/>
      <c r="V166" t="s" s="8">
        <v>10</v>
      </c>
      <c r="W166" s="34"/>
      <c r="X166" t="s" s="8">
        <v>10</v>
      </c>
      <c r="Y166" s="34"/>
      <c r="Z166" t="s" s="243">
        <v>10</v>
      </c>
      <c r="AA166" s="34"/>
      <c r="AB166" t="s" s="243">
        <v>10</v>
      </c>
      <c r="AC166" s="34"/>
      <c r="AD166" s="32"/>
      <c r="AE166" s="13"/>
      <c r="AF166" s="7"/>
    </row>
    <row r="167" ht="13.75" customHeight="1">
      <c r="A167" s="155"/>
      <c r="B167" t="s" s="8">
        <v>499</v>
      </c>
      <c r="C167" s="9"/>
      <c r="D167" s="9"/>
      <c r="E167" t="s" s="8">
        <v>14</v>
      </c>
      <c r="F167" t="s" s="8">
        <v>6</v>
      </c>
      <c r="G167" s="16">
        <v>2104</v>
      </c>
      <c r="H167" t="s" s="8">
        <v>6</v>
      </c>
      <c r="I167" s="16">
        <v>2154</v>
      </c>
      <c r="J167" t="s" s="8">
        <v>6</v>
      </c>
      <c r="K167" s="23"/>
      <c r="L167" t="s" s="8">
        <v>6</v>
      </c>
      <c r="M167" s="24"/>
      <c r="N167" t="s" s="8">
        <v>6</v>
      </c>
      <c r="O167" s="18"/>
      <c r="P167" t="s" s="8">
        <v>6</v>
      </c>
      <c r="Q167" s="18"/>
      <c r="R167" t="s" s="8">
        <v>6</v>
      </c>
      <c r="S167" s="18"/>
      <c r="T167" t="s" s="8">
        <v>6</v>
      </c>
      <c r="U167" s="18"/>
      <c r="V167" t="s" s="8">
        <v>6</v>
      </c>
      <c r="W167" s="18"/>
      <c r="X167" t="s" s="8">
        <v>6</v>
      </c>
      <c r="Y167" s="18"/>
      <c r="Z167" t="s" s="243">
        <v>6</v>
      </c>
      <c r="AA167" s="18"/>
      <c r="AB167" t="s" s="243">
        <v>6</v>
      </c>
      <c r="AC167" s="18"/>
      <c r="AD167" s="32"/>
      <c r="AE167" s="13"/>
      <c r="AF167" s="7"/>
    </row>
    <row r="168" ht="13.55" customHeight="1">
      <c r="A168" s="155"/>
      <c r="B168" t="s" s="8">
        <v>500</v>
      </c>
      <c r="C168" s="9"/>
      <c r="D168" s="9"/>
      <c r="E168" s="9"/>
      <c r="F168" t="s" s="8">
        <v>8</v>
      </c>
      <c r="G168" s="26">
        <v>600</v>
      </c>
      <c r="H168" t="s" s="8">
        <v>8</v>
      </c>
      <c r="I168" s="26">
        <v>600</v>
      </c>
      <c r="J168" t="s" s="8">
        <v>8</v>
      </c>
      <c r="K168" s="23"/>
      <c r="L168" t="s" s="8">
        <v>8</v>
      </c>
      <c r="M168" s="32"/>
      <c r="N168" t="s" s="8">
        <v>8</v>
      </c>
      <c r="O168" s="27"/>
      <c r="P168" t="s" s="8">
        <v>8</v>
      </c>
      <c r="Q168" s="27"/>
      <c r="R168" t="s" s="8">
        <v>8</v>
      </c>
      <c r="S168" s="27"/>
      <c r="T168" t="s" s="8">
        <v>8</v>
      </c>
      <c r="U168" s="27"/>
      <c r="V168" t="s" s="8">
        <v>8</v>
      </c>
      <c r="W168" s="27"/>
      <c r="X168" t="s" s="8">
        <v>8</v>
      </c>
      <c r="Y168" s="27"/>
      <c r="Z168" t="s" s="243">
        <v>8</v>
      </c>
      <c r="AA168" s="27"/>
      <c r="AB168" t="s" s="243">
        <v>8</v>
      </c>
      <c r="AC168" s="27"/>
      <c r="AD168" s="117" cm="1">
        <f t="array" ref="AD168">G168+I168+K168+M168+O168+Q168+S168+U168+W168+Y168+AA168+AC168</f>
        <v>1200</v>
      </c>
      <c r="AE168" s="50" cm="1">
        <f t="array" ref="AE168">500*10</f>
        <v>5000</v>
      </c>
      <c r="AF168" s="51" cm="1">
        <f t="array" ref="AF168">AE168-AD168</f>
        <v>3800</v>
      </c>
    </row>
    <row r="169" ht="13.55" customHeight="1">
      <c r="A169" s="155"/>
      <c r="B169" s="24"/>
      <c r="C169" s="9"/>
      <c r="D169" s="9"/>
      <c r="E169" s="9"/>
      <c r="F169" t="s" s="8">
        <v>10</v>
      </c>
      <c r="G169" t="s" s="33">
        <v>74</v>
      </c>
      <c r="H169" t="s" s="8">
        <v>10</v>
      </c>
      <c r="I169" t="s" s="33">
        <v>142</v>
      </c>
      <c r="J169" t="s" s="8">
        <v>10</v>
      </c>
      <c r="K169" s="23"/>
      <c r="L169" t="s" s="8">
        <v>10</v>
      </c>
      <c r="M169" s="32"/>
      <c r="N169" t="s" s="8">
        <v>10</v>
      </c>
      <c r="O169" s="34"/>
      <c r="P169" t="s" s="8">
        <v>10</v>
      </c>
      <c r="Q169" s="34"/>
      <c r="R169" t="s" s="8">
        <v>10</v>
      </c>
      <c r="S169" s="34"/>
      <c r="T169" t="s" s="8">
        <v>10</v>
      </c>
      <c r="U169" s="34"/>
      <c r="V169" t="s" s="8">
        <v>10</v>
      </c>
      <c r="W169" s="34"/>
      <c r="X169" t="s" s="8">
        <v>10</v>
      </c>
      <c r="Y169" s="34"/>
      <c r="Z169" t="s" s="243">
        <v>10</v>
      </c>
      <c r="AA169" s="34"/>
      <c r="AB169" t="s" s="243">
        <v>10</v>
      </c>
      <c r="AC169" s="34"/>
      <c r="AD169" s="13"/>
      <c r="AE169" s="7"/>
      <c r="AF169" s="7"/>
    </row>
    <row r="170" ht="13.55" customHeight="1">
      <c r="A170" s="65"/>
      <c r="B170" s="111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11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7"/>
      <c r="AE170" s="7"/>
      <c r="AF170" s="7"/>
    </row>
    <row r="171" ht="13.75" customHeight="1">
      <c r="A171" s="154">
        <v>25</v>
      </c>
      <c r="B171" t="s" s="130">
        <v>501</v>
      </c>
      <c r="C171" s="9"/>
      <c r="D171" s="9"/>
      <c r="E171" t="s" s="8">
        <v>5</v>
      </c>
      <c r="F171" t="s" s="8">
        <v>6</v>
      </c>
      <c r="G171" s="16">
        <v>3151</v>
      </c>
      <c r="H171" t="s" s="8">
        <v>6</v>
      </c>
      <c r="I171" s="16">
        <v>3151</v>
      </c>
      <c r="J171" t="s" s="8">
        <v>6</v>
      </c>
      <c r="K171" s="16">
        <v>3151</v>
      </c>
      <c r="L171" t="s" s="8">
        <v>6</v>
      </c>
      <c r="M171" s="18"/>
      <c r="N171" t="s" s="8">
        <v>6</v>
      </c>
      <c r="O171" s="18"/>
      <c r="P171" t="s" s="8">
        <v>6</v>
      </c>
      <c r="Q171" s="18"/>
      <c r="R171" t="s" s="8">
        <v>6</v>
      </c>
      <c r="S171" s="18"/>
      <c r="T171" t="s" s="8">
        <v>6</v>
      </c>
      <c r="U171" s="18"/>
      <c r="V171" t="s" s="8">
        <v>6</v>
      </c>
      <c r="W171" s="18"/>
      <c r="X171" t="s" s="8">
        <v>6</v>
      </c>
      <c r="Y171" s="18"/>
      <c r="Z171" t="s" s="243">
        <v>6</v>
      </c>
      <c r="AA171" s="18"/>
      <c r="AB171" t="s" s="243">
        <v>6</v>
      </c>
      <c r="AC171" s="18"/>
      <c r="AD171" s="13"/>
      <c r="AE171" s="7"/>
      <c r="AF171" s="7"/>
    </row>
    <row r="172" ht="13.55" customHeight="1">
      <c r="A172" s="155"/>
      <c r="B172" s="9"/>
      <c r="C172" s="9"/>
      <c r="D172" s="42"/>
      <c r="E172" s="9"/>
      <c r="F172" t="s" s="8">
        <v>8</v>
      </c>
      <c r="G172" s="26">
        <v>1100</v>
      </c>
      <c r="H172" t="s" s="8">
        <v>8</v>
      </c>
      <c r="I172" s="26">
        <v>1100</v>
      </c>
      <c r="J172" t="s" s="8">
        <v>8</v>
      </c>
      <c r="K172" s="26">
        <v>50</v>
      </c>
      <c r="L172" t="s" s="8">
        <v>8</v>
      </c>
      <c r="M172" s="27"/>
      <c r="N172" t="s" s="8">
        <v>8</v>
      </c>
      <c r="O172" s="27"/>
      <c r="P172" t="s" s="8">
        <v>8</v>
      </c>
      <c r="Q172" s="27"/>
      <c r="R172" t="s" s="8">
        <v>8</v>
      </c>
      <c r="S172" s="27"/>
      <c r="T172" t="s" s="8">
        <v>8</v>
      </c>
      <c r="U172" s="27"/>
      <c r="V172" t="s" s="8">
        <v>8</v>
      </c>
      <c r="W172" s="27"/>
      <c r="X172" t="s" s="8">
        <v>8</v>
      </c>
      <c r="Y172" s="27"/>
      <c r="Z172" t="s" s="243">
        <v>8</v>
      </c>
      <c r="AA172" s="27"/>
      <c r="AB172" t="s" s="243">
        <v>8</v>
      </c>
      <c r="AC172" s="27"/>
      <c r="AD172" s="117" cm="1">
        <f t="array" ref="AD172">G172+I172+K172+M172+O172+Q172+S172+U172+W172+Y172+AA172+AC172</f>
        <v>2250</v>
      </c>
      <c r="AE172" s="50" cm="1">
        <f t="array" ref="AE172">1000*12</f>
        <v>12000</v>
      </c>
      <c r="AF172" s="51" cm="1">
        <f t="array" ref="AF172">AE172-AD172</f>
        <v>9750</v>
      </c>
    </row>
    <row r="173" ht="13.55" customHeight="1">
      <c r="A173" s="155"/>
      <c r="B173" s="9"/>
      <c r="C173" t="s" s="8">
        <v>9</v>
      </c>
      <c r="D173" s="25">
        <v>1000</v>
      </c>
      <c r="E173" s="9"/>
      <c r="F173" t="s" s="8">
        <v>10</v>
      </c>
      <c r="G173" t="s" s="33">
        <v>327</v>
      </c>
      <c r="H173" t="s" s="8">
        <v>10</v>
      </c>
      <c r="I173" t="s" s="33">
        <v>327</v>
      </c>
      <c r="J173" t="s" s="8">
        <v>10</v>
      </c>
      <c r="K173" t="s" s="33">
        <v>327</v>
      </c>
      <c r="L173" t="s" s="8">
        <v>10</v>
      </c>
      <c r="M173" s="34"/>
      <c r="N173" t="s" s="8">
        <v>10</v>
      </c>
      <c r="O173" s="34"/>
      <c r="P173" t="s" s="8">
        <v>10</v>
      </c>
      <c r="Q173" s="34"/>
      <c r="R173" t="s" s="8">
        <v>10</v>
      </c>
      <c r="S173" s="34"/>
      <c r="T173" t="s" s="8">
        <v>10</v>
      </c>
      <c r="U173" s="34"/>
      <c r="V173" t="s" s="8">
        <v>10</v>
      </c>
      <c r="W173" s="34"/>
      <c r="X173" t="s" s="8">
        <v>10</v>
      </c>
      <c r="Y173" s="34"/>
      <c r="Z173" t="s" s="243">
        <v>10</v>
      </c>
      <c r="AA173" s="34"/>
      <c r="AB173" t="s" s="243">
        <v>10</v>
      </c>
      <c r="AC173" s="34"/>
      <c r="AD173" s="32"/>
      <c r="AE173" s="13"/>
      <c r="AF173" s="7"/>
    </row>
    <row r="174" ht="13.75" customHeight="1">
      <c r="A174" s="155"/>
      <c r="B174" t="s" s="8">
        <v>502</v>
      </c>
      <c r="C174" s="9"/>
      <c r="D174" s="9"/>
      <c r="E174" t="s" s="8">
        <v>14</v>
      </c>
      <c r="F174" t="s" s="8">
        <v>6</v>
      </c>
      <c r="G174" s="18"/>
      <c r="H174" t="s" s="8">
        <v>6</v>
      </c>
      <c r="I174" s="23"/>
      <c r="J174" t="s" s="8">
        <v>6</v>
      </c>
      <c r="K174" s="23"/>
      <c r="L174" t="s" s="8">
        <v>6</v>
      </c>
      <c r="M174" s="24"/>
      <c r="N174" t="s" s="8">
        <v>6</v>
      </c>
      <c r="O174" s="23"/>
      <c r="P174" t="s" s="8">
        <v>6</v>
      </c>
      <c r="Q174" s="23"/>
      <c r="R174" t="s" s="8">
        <v>6</v>
      </c>
      <c r="S174" s="9"/>
      <c r="T174" t="s" s="8">
        <v>6</v>
      </c>
      <c r="U174" s="9"/>
      <c r="V174" t="s" s="8">
        <v>6</v>
      </c>
      <c r="W174" s="9"/>
      <c r="X174" t="s" s="8">
        <v>6</v>
      </c>
      <c r="Y174" s="253"/>
      <c r="Z174" t="s" s="243">
        <v>6</v>
      </c>
      <c r="AA174" s="253"/>
      <c r="AB174" t="s" s="243">
        <v>6</v>
      </c>
      <c r="AC174" s="253"/>
      <c r="AD174" s="32"/>
      <c r="AE174" s="13"/>
      <c r="AF174" s="7"/>
    </row>
    <row r="175" ht="13.55" customHeight="1">
      <c r="A175" s="155"/>
      <c r="B175" t="s" s="8">
        <v>503</v>
      </c>
      <c r="C175" s="9"/>
      <c r="D175" s="9"/>
      <c r="E175" s="9"/>
      <c r="F175" t="s" s="8">
        <v>8</v>
      </c>
      <c r="G175" s="27"/>
      <c r="H175" t="s" s="8">
        <v>8</v>
      </c>
      <c r="I175" s="23"/>
      <c r="J175" t="s" s="8">
        <v>8</v>
      </c>
      <c r="K175" s="23"/>
      <c r="L175" t="s" s="8">
        <v>8</v>
      </c>
      <c r="M175" s="32"/>
      <c r="N175" t="s" s="8">
        <v>8</v>
      </c>
      <c r="O175" s="23"/>
      <c r="P175" t="s" s="8">
        <v>8</v>
      </c>
      <c r="Q175" s="23"/>
      <c r="R175" t="s" s="8">
        <v>8</v>
      </c>
      <c r="S175" s="9"/>
      <c r="T175" t="s" s="8">
        <v>8</v>
      </c>
      <c r="U175" s="9"/>
      <c r="V175" t="s" s="8">
        <v>8</v>
      </c>
      <c r="W175" s="9"/>
      <c r="X175" t="s" s="8">
        <v>8</v>
      </c>
      <c r="Y175" s="253"/>
      <c r="Z175" t="s" s="243">
        <v>8</v>
      </c>
      <c r="AA175" s="253"/>
      <c r="AB175" t="s" s="243">
        <v>8</v>
      </c>
      <c r="AC175" s="253"/>
      <c r="AD175" s="117" cm="1">
        <f t="array" ref="AD175">G175+I175+K175+M175+O175+Q175+S175+U175+W175+Y175+AA175+AC175</f>
        <v>0</v>
      </c>
      <c r="AE175" s="13"/>
      <c r="AF175" s="7"/>
    </row>
    <row r="176" ht="13.55" customHeight="1">
      <c r="A176" s="155"/>
      <c r="B176" s="24"/>
      <c r="C176" s="9"/>
      <c r="D176" s="9"/>
      <c r="E176" s="9"/>
      <c r="F176" t="s" s="8">
        <v>10</v>
      </c>
      <c r="G176" s="34"/>
      <c r="H176" t="s" s="8">
        <v>10</v>
      </c>
      <c r="I176" s="23"/>
      <c r="J176" t="s" s="8">
        <v>10</v>
      </c>
      <c r="K176" s="23"/>
      <c r="L176" t="s" s="8">
        <v>10</v>
      </c>
      <c r="M176" s="32"/>
      <c r="N176" t="s" s="8">
        <v>10</v>
      </c>
      <c r="O176" s="23"/>
      <c r="P176" t="s" s="8">
        <v>10</v>
      </c>
      <c r="Q176" s="23"/>
      <c r="R176" t="s" s="8">
        <v>10</v>
      </c>
      <c r="S176" s="9"/>
      <c r="T176" t="s" s="8">
        <v>10</v>
      </c>
      <c r="U176" s="9"/>
      <c r="V176" t="s" s="8">
        <v>10</v>
      </c>
      <c r="W176" s="9"/>
      <c r="X176" t="s" s="8">
        <v>10</v>
      </c>
      <c r="Y176" s="253"/>
      <c r="Z176" t="s" s="243">
        <v>10</v>
      </c>
      <c r="AA176" s="253"/>
      <c r="AB176" t="s" s="243">
        <v>10</v>
      </c>
      <c r="AC176" s="253"/>
      <c r="AD176" s="13"/>
      <c r="AE176" s="7"/>
      <c r="AF176" s="7"/>
    </row>
    <row r="177" ht="13.55" customHeight="1">
      <c r="A177" s="65"/>
      <c r="B177" s="111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11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7"/>
      <c r="AE177" s="7"/>
      <c r="AF177" s="7"/>
    </row>
    <row r="178" ht="15" customHeight="1">
      <c r="A178" s="154">
        <v>26</v>
      </c>
      <c r="B178" t="s" s="130">
        <v>504</v>
      </c>
      <c r="C178" s="9"/>
      <c r="D178" s="9"/>
      <c r="E178" t="s" s="8">
        <v>5</v>
      </c>
      <c r="F178" t="s" s="8">
        <v>6</v>
      </c>
      <c r="G178" s="18"/>
      <c r="H178" t="s" s="8">
        <v>6</v>
      </c>
      <c r="I178" s="18"/>
      <c r="J178" t="s" s="8">
        <v>6</v>
      </c>
      <c r="K178" s="18"/>
      <c r="L178" t="s" s="8">
        <v>6</v>
      </c>
      <c r="M178" s="18"/>
      <c r="N178" t="s" s="8">
        <v>6</v>
      </c>
      <c r="O178" s="18"/>
      <c r="P178" t="s" s="8">
        <v>6</v>
      </c>
      <c r="Q178" s="18"/>
      <c r="R178" t="s" s="8">
        <v>6</v>
      </c>
      <c r="S178" s="18"/>
      <c r="T178" t="s" s="8">
        <v>6</v>
      </c>
      <c r="U178" s="18"/>
      <c r="V178" t="s" s="8">
        <v>6</v>
      </c>
      <c r="W178" s="18"/>
      <c r="X178" t="s" s="8">
        <v>6</v>
      </c>
      <c r="Y178" s="18"/>
      <c r="Z178" t="s" s="243">
        <v>6</v>
      </c>
      <c r="AA178" s="18"/>
      <c r="AB178" t="s" s="243">
        <v>6</v>
      </c>
      <c r="AC178" s="18"/>
      <c r="AD178" s="13"/>
      <c r="AE178" s="7"/>
      <c r="AF178" s="7"/>
    </row>
    <row r="179" ht="13.55" customHeight="1">
      <c r="A179" s="155"/>
      <c r="B179" s="9"/>
      <c r="C179" s="9"/>
      <c r="D179" s="42"/>
      <c r="E179" s="9"/>
      <c r="F179" t="s" s="8">
        <v>8</v>
      </c>
      <c r="G179" s="27"/>
      <c r="H179" t="s" s="8">
        <v>8</v>
      </c>
      <c r="I179" s="27"/>
      <c r="J179" t="s" s="8">
        <v>8</v>
      </c>
      <c r="K179" s="27"/>
      <c r="L179" t="s" s="8">
        <v>8</v>
      </c>
      <c r="M179" s="27"/>
      <c r="N179" t="s" s="8">
        <v>8</v>
      </c>
      <c r="O179" s="27"/>
      <c r="P179" t="s" s="8">
        <v>8</v>
      </c>
      <c r="Q179" s="27"/>
      <c r="R179" t="s" s="8">
        <v>8</v>
      </c>
      <c r="S179" s="27"/>
      <c r="T179" t="s" s="8">
        <v>8</v>
      </c>
      <c r="U179" s="27"/>
      <c r="V179" t="s" s="8">
        <v>8</v>
      </c>
      <c r="W179" s="27"/>
      <c r="X179" t="s" s="8">
        <v>8</v>
      </c>
      <c r="Y179" s="27"/>
      <c r="Z179" t="s" s="243">
        <v>8</v>
      </c>
      <c r="AA179" s="27"/>
      <c r="AB179" t="s" s="243">
        <v>8</v>
      </c>
      <c r="AC179" s="27"/>
      <c r="AD179" s="117" cm="1">
        <f t="array" ref="AD179">G179+I179+K179+M179+O179+Q179+S179+U179+W179+Y179+AA179+AC179</f>
        <v>0</v>
      </c>
      <c r="AE179" s="50" cm="1">
        <f t="array" ref="AE179">1000*12</f>
        <v>12000</v>
      </c>
      <c r="AF179" s="51" cm="1">
        <f t="array" ref="AF179">AE179-AD179</f>
        <v>12000</v>
      </c>
    </row>
    <row r="180" ht="13.55" customHeight="1">
      <c r="A180" s="155"/>
      <c r="B180" s="9"/>
      <c r="C180" t="s" s="8">
        <v>9</v>
      </c>
      <c r="D180" s="25">
        <v>1000</v>
      </c>
      <c r="E180" t="s" s="33">
        <v>336</v>
      </c>
      <c r="F180" t="s" s="8">
        <v>10</v>
      </c>
      <c r="G180" s="34"/>
      <c r="H180" t="s" s="8">
        <v>10</v>
      </c>
      <c r="I180" s="34"/>
      <c r="J180" t="s" s="8">
        <v>10</v>
      </c>
      <c r="K180" s="34"/>
      <c r="L180" t="s" s="8">
        <v>10</v>
      </c>
      <c r="M180" s="34"/>
      <c r="N180" t="s" s="8">
        <v>10</v>
      </c>
      <c r="O180" s="34"/>
      <c r="P180" t="s" s="8">
        <v>10</v>
      </c>
      <c r="Q180" s="34"/>
      <c r="R180" t="s" s="8">
        <v>10</v>
      </c>
      <c r="S180" s="34"/>
      <c r="T180" t="s" s="8">
        <v>10</v>
      </c>
      <c r="U180" s="34"/>
      <c r="V180" t="s" s="8">
        <v>10</v>
      </c>
      <c r="W180" s="34"/>
      <c r="X180" t="s" s="8">
        <v>10</v>
      </c>
      <c r="Y180" s="34"/>
      <c r="Z180" t="s" s="243">
        <v>10</v>
      </c>
      <c r="AA180" s="34"/>
      <c r="AB180" t="s" s="243">
        <v>10</v>
      </c>
      <c r="AC180" s="34"/>
      <c r="AD180" s="32"/>
      <c r="AE180" s="13"/>
      <c r="AF180" s="7"/>
    </row>
    <row r="181" ht="13.75" customHeight="1">
      <c r="A181" s="155"/>
      <c r="B181" t="s" s="8">
        <v>505</v>
      </c>
      <c r="C181" s="9"/>
      <c r="D181" s="9"/>
      <c r="E181" t="s" s="8">
        <v>14</v>
      </c>
      <c r="F181" t="s" s="8">
        <v>6</v>
      </c>
      <c r="G181" s="18"/>
      <c r="H181" t="s" s="8">
        <v>6</v>
      </c>
      <c r="I181" s="23"/>
      <c r="J181" t="s" s="8">
        <v>6</v>
      </c>
      <c r="K181" s="23"/>
      <c r="L181" t="s" s="8">
        <v>6</v>
      </c>
      <c r="M181" s="23"/>
      <c r="N181" t="s" s="8">
        <v>6</v>
      </c>
      <c r="O181" s="18"/>
      <c r="P181" t="s" s="8">
        <v>6</v>
      </c>
      <c r="Q181" s="18"/>
      <c r="R181" t="s" s="8">
        <v>6</v>
      </c>
      <c r="S181" s="18"/>
      <c r="T181" t="s" s="8">
        <v>6</v>
      </c>
      <c r="U181" s="18"/>
      <c r="V181" t="s" s="8">
        <v>6</v>
      </c>
      <c r="W181" s="18"/>
      <c r="X181" t="s" s="8">
        <v>6</v>
      </c>
      <c r="Y181" s="18"/>
      <c r="Z181" t="s" s="243">
        <v>6</v>
      </c>
      <c r="AA181" s="18"/>
      <c r="AB181" t="s" s="243">
        <v>6</v>
      </c>
      <c r="AC181" s="18"/>
      <c r="AD181" s="32"/>
      <c r="AE181" s="13"/>
      <c r="AF181" s="7"/>
    </row>
    <row r="182" ht="13.55" customHeight="1">
      <c r="A182" s="155"/>
      <c r="B182" t="s" s="8">
        <v>506</v>
      </c>
      <c r="C182" s="9"/>
      <c r="D182" s="9"/>
      <c r="E182" s="9"/>
      <c r="F182" t="s" s="8">
        <v>8</v>
      </c>
      <c r="G182" s="27"/>
      <c r="H182" t="s" s="8">
        <v>8</v>
      </c>
      <c r="I182" s="23"/>
      <c r="J182" t="s" s="8">
        <v>8</v>
      </c>
      <c r="K182" s="23"/>
      <c r="L182" t="s" s="8">
        <v>8</v>
      </c>
      <c r="M182" s="23"/>
      <c r="N182" t="s" s="8">
        <v>8</v>
      </c>
      <c r="O182" s="27"/>
      <c r="P182" t="s" s="8">
        <v>8</v>
      </c>
      <c r="Q182" s="27"/>
      <c r="R182" t="s" s="8">
        <v>8</v>
      </c>
      <c r="S182" s="27"/>
      <c r="T182" t="s" s="8">
        <v>8</v>
      </c>
      <c r="U182" s="27"/>
      <c r="V182" t="s" s="8">
        <v>8</v>
      </c>
      <c r="W182" s="27"/>
      <c r="X182" t="s" s="8">
        <v>8</v>
      </c>
      <c r="Y182" s="27"/>
      <c r="Z182" t="s" s="243">
        <v>8</v>
      </c>
      <c r="AA182" s="27"/>
      <c r="AB182" t="s" s="243">
        <v>8</v>
      </c>
      <c r="AC182" s="27"/>
      <c r="AD182" s="117" cm="1">
        <f t="array" ref="AD182">G182+I182+K182+M182+O182+Q182+S182+U182+W182+Y182+AA182+AC182</f>
        <v>0</v>
      </c>
      <c r="AE182" s="50" cm="1">
        <f t="array" ref="AE182">700*8</f>
        <v>5600</v>
      </c>
      <c r="AF182" s="51" cm="1">
        <f t="array" ref="AF182">AE182-AD182</f>
        <v>5600</v>
      </c>
    </row>
    <row r="183" ht="13.55" customHeight="1">
      <c r="A183" s="155"/>
      <c r="B183" s="24"/>
      <c r="C183" s="9"/>
      <c r="D183" s="9"/>
      <c r="E183" s="9"/>
      <c r="F183" t="s" s="8">
        <v>10</v>
      </c>
      <c r="G183" s="34"/>
      <c r="H183" t="s" s="8">
        <v>10</v>
      </c>
      <c r="I183" s="23"/>
      <c r="J183" t="s" s="8">
        <v>10</v>
      </c>
      <c r="K183" s="23"/>
      <c r="L183" t="s" s="8">
        <v>10</v>
      </c>
      <c r="M183" s="23"/>
      <c r="N183" t="s" s="8">
        <v>10</v>
      </c>
      <c r="O183" s="34"/>
      <c r="P183" t="s" s="8">
        <v>10</v>
      </c>
      <c r="Q183" s="34"/>
      <c r="R183" t="s" s="8">
        <v>10</v>
      </c>
      <c r="S183" s="34"/>
      <c r="T183" t="s" s="8">
        <v>10</v>
      </c>
      <c r="U183" s="34"/>
      <c r="V183" t="s" s="8">
        <v>10</v>
      </c>
      <c r="W183" s="34"/>
      <c r="X183" t="s" s="8">
        <v>10</v>
      </c>
      <c r="Y183" s="34"/>
      <c r="Z183" t="s" s="243">
        <v>10</v>
      </c>
      <c r="AA183" s="34"/>
      <c r="AB183" t="s" s="243">
        <v>10</v>
      </c>
      <c r="AC183" s="34"/>
      <c r="AD183" s="13"/>
      <c r="AE183" s="7"/>
      <c r="AF183" s="7"/>
    </row>
    <row r="184" ht="13.55" customHeight="1">
      <c r="A184" s="65"/>
      <c r="B184" s="111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"/>
      <c r="AE184" s="7"/>
      <c r="AF184" s="7"/>
    </row>
    <row r="185" ht="13.75" customHeight="1">
      <c r="A185" s="154">
        <v>27</v>
      </c>
      <c r="B185" t="s" s="130">
        <v>507</v>
      </c>
      <c r="C185" s="9"/>
      <c r="D185" s="9"/>
      <c r="E185" t="s" s="8">
        <v>5</v>
      </c>
      <c r="F185" t="s" s="8">
        <v>6</v>
      </c>
      <c r="G185" s="16">
        <v>1063</v>
      </c>
      <c r="H185" t="s" s="8">
        <v>6</v>
      </c>
      <c r="I185" s="16">
        <v>1063</v>
      </c>
      <c r="J185" t="s" s="8">
        <v>6</v>
      </c>
      <c r="K185" s="16">
        <v>3168</v>
      </c>
      <c r="L185" t="s" s="8">
        <v>6</v>
      </c>
      <c r="M185" s="18"/>
      <c r="N185" t="s" s="8">
        <v>6</v>
      </c>
      <c r="O185" s="18"/>
      <c r="P185" t="s" s="8">
        <v>6</v>
      </c>
      <c r="Q185" s="18"/>
      <c r="R185" s="13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3.75" customHeight="1">
      <c r="A186" s="155"/>
      <c r="B186" t="s" s="124">
        <v>68</v>
      </c>
      <c r="C186" t="s" s="8">
        <v>7</v>
      </c>
      <c r="D186" s="25">
        <v>1000</v>
      </c>
      <c r="E186" s="9"/>
      <c r="F186" t="s" s="8">
        <v>8</v>
      </c>
      <c r="G186" s="26">
        <v>550</v>
      </c>
      <c r="H186" t="s" s="8">
        <v>8</v>
      </c>
      <c r="I186" s="26">
        <v>550</v>
      </c>
      <c r="J186" t="s" s="8">
        <v>8</v>
      </c>
      <c r="K186" s="26">
        <v>550</v>
      </c>
      <c r="L186" t="s" s="8">
        <v>8</v>
      </c>
      <c r="M186" s="27"/>
      <c r="N186" t="s" s="8">
        <v>8</v>
      </c>
      <c r="O186" s="27"/>
      <c r="P186" t="s" s="8">
        <v>8</v>
      </c>
      <c r="Q186" s="27"/>
      <c r="R186" s="13"/>
      <c r="S186" s="7"/>
      <c r="T186" s="111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3.75" customHeight="1">
      <c r="A187" s="155"/>
      <c r="B187" t="s" s="87">
        <v>22</v>
      </c>
      <c r="C187" t="s" s="8">
        <v>9</v>
      </c>
      <c r="D187" s="25">
        <v>1000</v>
      </c>
      <c r="E187" s="9"/>
      <c r="F187" t="s" s="8">
        <v>10</v>
      </c>
      <c r="G187" t="s" s="33">
        <v>159</v>
      </c>
      <c r="H187" t="s" s="8">
        <v>10</v>
      </c>
      <c r="I187" t="s" s="33">
        <v>159</v>
      </c>
      <c r="J187" t="s" s="8">
        <v>10</v>
      </c>
      <c r="K187" t="s" s="33">
        <v>142</v>
      </c>
      <c r="L187" t="s" s="8">
        <v>10</v>
      </c>
      <c r="M187" s="34"/>
      <c r="N187" t="s" s="8">
        <v>10</v>
      </c>
      <c r="O187" s="34"/>
      <c r="P187" t="s" s="8">
        <v>10</v>
      </c>
      <c r="Q187" s="34"/>
      <c r="R187" s="13"/>
      <c r="S187" s="7"/>
      <c r="T187" s="266"/>
      <c r="U187" s="13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3.75" customHeight="1">
      <c r="A188" s="155"/>
      <c r="B188" t="s" s="8">
        <v>508</v>
      </c>
      <c r="C188" s="9"/>
      <c r="D188" s="9"/>
      <c r="E188" t="s" s="8">
        <v>14</v>
      </c>
      <c r="F188" t="s" s="8">
        <v>6</v>
      </c>
      <c r="G188" s="18"/>
      <c r="H188" t="s" s="8">
        <v>6</v>
      </c>
      <c r="I188" s="23"/>
      <c r="J188" t="s" s="8">
        <v>6</v>
      </c>
      <c r="K188" s="23"/>
      <c r="L188" t="s" s="8">
        <v>6</v>
      </c>
      <c r="M188" s="23"/>
      <c r="N188" t="s" s="8">
        <v>6</v>
      </c>
      <c r="O188" s="18"/>
      <c r="P188" t="s" s="8">
        <v>6</v>
      </c>
      <c r="Q188" s="18"/>
      <c r="R188" s="13"/>
      <c r="S188" s="7"/>
      <c r="T188" s="70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3.55" customHeight="1">
      <c r="A189" s="155"/>
      <c r="B189" t="s" s="8">
        <v>509</v>
      </c>
      <c r="C189" s="9"/>
      <c r="D189" s="9"/>
      <c r="E189" s="9"/>
      <c r="F189" t="s" s="8">
        <v>8</v>
      </c>
      <c r="G189" s="27"/>
      <c r="H189" t="s" s="8">
        <v>8</v>
      </c>
      <c r="I189" s="23"/>
      <c r="J189" t="s" s="8">
        <v>8</v>
      </c>
      <c r="K189" s="23"/>
      <c r="L189" t="s" s="8">
        <v>8</v>
      </c>
      <c r="M189" s="23"/>
      <c r="N189" t="s" s="8">
        <v>8</v>
      </c>
      <c r="O189" s="27"/>
      <c r="P189" t="s" s="8">
        <v>8</v>
      </c>
      <c r="Q189" s="27"/>
      <c r="R189" s="13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3.55" customHeight="1">
      <c r="A190" s="155"/>
      <c r="B190" s="24"/>
      <c r="C190" s="9"/>
      <c r="D190" s="9"/>
      <c r="E190" s="9"/>
      <c r="F190" t="s" s="8">
        <v>10</v>
      </c>
      <c r="G190" s="34"/>
      <c r="H190" t="s" s="8">
        <v>10</v>
      </c>
      <c r="I190" s="23"/>
      <c r="J190" t="s" s="8">
        <v>10</v>
      </c>
      <c r="K190" s="23"/>
      <c r="L190" t="s" s="8">
        <v>10</v>
      </c>
      <c r="M190" s="23"/>
      <c r="N190" t="s" s="8">
        <v>10</v>
      </c>
      <c r="O190" s="34"/>
      <c r="P190" t="s" s="8">
        <v>10</v>
      </c>
      <c r="Q190" s="34"/>
      <c r="R190" s="13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3.55" customHeight="1">
      <c r="A191" s="65"/>
      <c r="B191" s="111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3.75" customHeight="1">
      <c r="A192" s="154">
        <v>28</v>
      </c>
      <c r="B192" t="s" s="130">
        <v>510</v>
      </c>
      <c r="C192" s="9"/>
      <c r="D192" s="9"/>
      <c r="E192" t="s" s="8">
        <v>5</v>
      </c>
      <c r="F192" t="s" s="8">
        <v>6</v>
      </c>
      <c r="G192" s="16">
        <v>1051</v>
      </c>
      <c r="H192" t="s" s="8">
        <v>6</v>
      </c>
      <c r="I192" s="16">
        <v>3233</v>
      </c>
      <c r="J192" t="s" s="8">
        <v>6</v>
      </c>
      <c r="K192" s="18"/>
      <c r="L192" t="s" s="8">
        <v>6</v>
      </c>
      <c r="M192" s="18"/>
      <c r="N192" t="s" s="8">
        <v>6</v>
      </c>
      <c r="O192" s="18"/>
      <c r="P192" t="s" s="8">
        <v>6</v>
      </c>
      <c r="Q192" s="18"/>
      <c r="R192" s="13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3.75" customHeight="1">
      <c r="A193" s="155"/>
      <c r="B193" t="s" s="124">
        <v>68</v>
      </c>
      <c r="C193" t="s" s="8">
        <v>7</v>
      </c>
      <c r="D193" s="25">
        <v>1000</v>
      </c>
      <c r="E193" s="9"/>
      <c r="F193" t="s" s="8">
        <v>8</v>
      </c>
      <c r="G193" s="26">
        <v>1100</v>
      </c>
      <c r="H193" t="s" s="8">
        <v>8</v>
      </c>
      <c r="I193" s="26">
        <v>1100</v>
      </c>
      <c r="J193" t="s" s="8">
        <v>8</v>
      </c>
      <c r="K193" s="27"/>
      <c r="L193" t="s" s="8">
        <v>8</v>
      </c>
      <c r="M193" s="27"/>
      <c r="N193" t="s" s="8">
        <v>8</v>
      </c>
      <c r="O193" s="27"/>
      <c r="P193" t="s" s="8">
        <v>8</v>
      </c>
      <c r="Q193" s="27"/>
      <c r="R193" s="13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3.55" customHeight="1">
      <c r="A194" s="155"/>
      <c r="B194" s="23"/>
      <c r="C194" t="s" s="8">
        <v>9</v>
      </c>
      <c r="D194" s="25">
        <v>1000</v>
      </c>
      <c r="E194" s="9"/>
      <c r="F194" t="s" s="8">
        <v>10</v>
      </c>
      <c r="G194" t="s" s="33">
        <v>11</v>
      </c>
      <c r="H194" t="s" s="8">
        <v>10</v>
      </c>
      <c r="I194" t="s" s="33">
        <v>12</v>
      </c>
      <c r="J194" t="s" s="8">
        <v>10</v>
      </c>
      <c r="K194" s="34"/>
      <c r="L194" t="s" s="8">
        <v>10</v>
      </c>
      <c r="M194" s="34"/>
      <c r="N194" t="s" s="8">
        <v>10</v>
      </c>
      <c r="O194" s="34"/>
      <c r="P194" t="s" s="8">
        <v>10</v>
      </c>
      <c r="Q194" s="34"/>
      <c r="R194" s="13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3.75" customHeight="1">
      <c r="A195" s="155"/>
      <c r="B195" t="s" s="8">
        <v>28</v>
      </c>
      <c r="C195" s="9"/>
      <c r="D195" s="9"/>
      <c r="E195" t="s" s="8">
        <v>14</v>
      </c>
      <c r="F195" t="s" s="8">
        <v>6</v>
      </c>
      <c r="G195" s="16">
        <v>2091</v>
      </c>
      <c r="H195" t="s" s="8">
        <v>6</v>
      </c>
      <c r="I195" s="16">
        <v>2199</v>
      </c>
      <c r="J195" t="s" s="8">
        <v>6</v>
      </c>
      <c r="K195" s="23"/>
      <c r="L195" t="s" s="8">
        <v>6</v>
      </c>
      <c r="M195" s="23"/>
      <c r="N195" t="s" s="8">
        <v>6</v>
      </c>
      <c r="O195" s="18"/>
      <c r="P195" t="s" s="8">
        <v>6</v>
      </c>
      <c r="Q195" s="18"/>
      <c r="R195" s="13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3.55" customHeight="1">
      <c r="A196" s="155"/>
      <c r="B196" t="s" s="8">
        <v>511</v>
      </c>
      <c r="C196" s="9"/>
      <c r="D196" s="9"/>
      <c r="E196" s="9"/>
      <c r="F196" t="s" s="8">
        <v>8</v>
      </c>
      <c r="G196" s="26">
        <v>800</v>
      </c>
      <c r="H196" t="s" s="8">
        <v>8</v>
      </c>
      <c r="I196" s="26">
        <v>800</v>
      </c>
      <c r="J196" t="s" s="8">
        <v>8</v>
      </c>
      <c r="K196" s="23"/>
      <c r="L196" t="s" s="8">
        <v>8</v>
      </c>
      <c r="M196" s="23"/>
      <c r="N196" t="s" s="8">
        <v>8</v>
      </c>
      <c r="O196" s="27"/>
      <c r="P196" t="s" s="8">
        <v>8</v>
      </c>
      <c r="Q196" s="27"/>
      <c r="R196" s="13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3.55" customHeight="1">
      <c r="A197" s="155"/>
      <c r="B197" s="24"/>
      <c r="C197" s="9"/>
      <c r="D197" s="9"/>
      <c r="E197" s="9"/>
      <c r="F197" t="s" s="8">
        <v>10</v>
      </c>
      <c r="G197" t="s" s="33">
        <v>11</v>
      </c>
      <c r="H197" t="s" s="8">
        <v>10</v>
      </c>
      <c r="I197" t="s" s="33">
        <v>12</v>
      </c>
      <c r="J197" t="s" s="8">
        <v>10</v>
      </c>
      <c r="K197" s="23"/>
      <c r="L197" t="s" s="8">
        <v>10</v>
      </c>
      <c r="M197" s="23"/>
      <c r="N197" t="s" s="8">
        <v>10</v>
      </c>
      <c r="O197" s="34"/>
      <c r="P197" t="s" s="8">
        <v>10</v>
      </c>
      <c r="Q197" s="34"/>
      <c r="R197" s="13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3.55" customHeight="1">
      <c r="A198" s="65"/>
      <c r="B198" s="111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3.75" customHeight="1">
      <c r="A199" s="154">
        <v>29</v>
      </c>
      <c r="B199" t="s" s="130">
        <v>512</v>
      </c>
      <c r="C199" s="9"/>
      <c r="D199" s="9"/>
      <c r="E199" t="s" s="8">
        <v>5</v>
      </c>
      <c r="F199" t="s" s="8">
        <v>6</v>
      </c>
      <c r="G199" s="16">
        <v>1069</v>
      </c>
      <c r="H199" t="s" s="8">
        <v>6</v>
      </c>
      <c r="I199" s="16">
        <v>3189</v>
      </c>
      <c r="J199" t="s" s="8">
        <v>6</v>
      </c>
      <c r="K199" s="16">
        <v>3270</v>
      </c>
      <c r="L199" t="s" s="8">
        <v>6</v>
      </c>
      <c r="M199" s="18"/>
      <c r="N199" t="s" s="8">
        <v>6</v>
      </c>
      <c r="O199" s="18"/>
      <c r="P199" t="s" s="8">
        <v>6</v>
      </c>
      <c r="Q199" s="18"/>
      <c r="R199" s="13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3.75" customHeight="1">
      <c r="A200" s="155"/>
      <c r="B200" t="s" s="124">
        <v>68</v>
      </c>
      <c r="C200" t="s" s="8">
        <v>7</v>
      </c>
      <c r="D200" s="25">
        <v>1000</v>
      </c>
      <c r="E200" s="9"/>
      <c r="F200" t="s" s="8">
        <v>8</v>
      </c>
      <c r="G200" s="26">
        <v>1100</v>
      </c>
      <c r="H200" t="s" s="8">
        <v>8</v>
      </c>
      <c r="I200" s="26">
        <v>1100</v>
      </c>
      <c r="J200" t="s" s="8">
        <v>8</v>
      </c>
      <c r="K200" s="26">
        <v>1100</v>
      </c>
      <c r="L200" t="s" s="8">
        <v>8</v>
      </c>
      <c r="M200" s="27"/>
      <c r="N200" t="s" s="8">
        <v>8</v>
      </c>
      <c r="O200" s="27"/>
      <c r="P200" t="s" s="8">
        <v>8</v>
      </c>
      <c r="Q200" s="27"/>
      <c r="R200" s="13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3.55" customHeight="1">
      <c r="A201" s="155"/>
      <c r="B201" s="9"/>
      <c r="C201" t="s" s="8">
        <v>9</v>
      </c>
      <c r="D201" s="25">
        <v>1000</v>
      </c>
      <c r="E201" s="9"/>
      <c r="F201" t="s" s="8">
        <v>10</v>
      </c>
      <c r="G201" t="s" s="33">
        <v>159</v>
      </c>
      <c r="H201" t="s" s="8">
        <v>10</v>
      </c>
      <c r="I201" t="s" s="33">
        <v>24</v>
      </c>
      <c r="J201" t="s" s="8">
        <v>10</v>
      </c>
      <c r="K201" t="s" s="33">
        <v>292</v>
      </c>
      <c r="L201" t="s" s="8">
        <v>10</v>
      </c>
      <c r="M201" s="34"/>
      <c r="N201" t="s" s="8">
        <v>10</v>
      </c>
      <c r="O201" s="34"/>
      <c r="P201" t="s" s="8">
        <v>10</v>
      </c>
      <c r="Q201" s="34"/>
      <c r="R201" s="13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3.75" customHeight="1">
      <c r="A202" s="155"/>
      <c r="B202" t="s" s="8">
        <v>513</v>
      </c>
      <c r="C202" s="9"/>
      <c r="D202" s="9"/>
      <c r="E202" t="s" s="8">
        <v>14</v>
      </c>
      <c r="F202" t="s" s="8">
        <v>6</v>
      </c>
      <c r="G202" s="18"/>
      <c r="H202" t="s" s="8">
        <v>6</v>
      </c>
      <c r="I202" s="23"/>
      <c r="J202" t="s" s="8">
        <v>6</v>
      </c>
      <c r="K202" s="23"/>
      <c r="L202" t="s" s="8">
        <v>6</v>
      </c>
      <c r="M202" s="23"/>
      <c r="N202" t="s" s="8">
        <v>6</v>
      </c>
      <c r="O202" s="18"/>
      <c r="P202" t="s" s="8">
        <v>6</v>
      </c>
      <c r="Q202" s="18"/>
      <c r="R202" s="13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3.55" customHeight="1">
      <c r="A203" s="155"/>
      <c r="B203" t="s" s="8">
        <v>294</v>
      </c>
      <c r="C203" s="9"/>
      <c r="D203" s="9"/>
      <c r="E203" s="9"/>
      <c r="F203" t="s" s="8">
        <v>8</v>
      </c>
      <c r="G203" s="27"/>
      <c r="H203" t="s" s="8">
        <v>8</v>
      </c>
      <c r="I203" s="23"/>
      <c r="J203" t="s" s="8">
        <v>8</v>
      </c>
      <c r="K203" s="23"/>
      <c r="L203" t="s" s="8">
        <v>8</v>
      </c>
      <c r="M203" s="23"/>
      <c r="N203" t="s" s="8">
        <v>8</v>
      </c>
      <c r="O203" s="27"/>
      <c r="P203" t="s" s="8">
        <v>8</v>
      </c>
      <c r="Q203" s="27"/>
      <c r="R203" s="13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3.55" customHeight="1">
      <c r="A204" s="155"/>
      <c r="B204" s="24"/>
      <c r="C204" s="9"/>
      <c r="D204" s="9"/>
      <c r="E204" s="9"/>
      <c r="F204" t="s" s="8">
        <v>10</v>
      </c>
      <c r="G204" s="34"/>
      <c r="H204" t="s" s="8">
        <v>10</v>
      </c>
      <c r="I204" s="23"/>
      <c r="J204" t="s" s="8">
        <v>10</v>
      </c>
      <c r="K204" s="23"/>
      <c r="L204" t="s" s="8">
        <v>10</v>
      </c>
      <c r="M204" s="23"/>
      <c r="N204" t="s" s="8">
        <v>10</v>
      </c>
      <c r="O204" s="34"/>
      <c r="P204" t="s" s="8">
        <v>10</v>
      </c>
      <c r="Q204" s="34"/>
      <c r="R204" s="13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3.55" customHeight="1">
      <c r="A205" s="65"/>
      <c r="B205" s="111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3.75" customHeight="1">
      <c r="A206" s="154">
        <v>30</v>
      </c>
      <c r="B206" t="s" s="130">
        <v>514</v>
      </c>
      <c r="C206" s="9"/>
      <c r="D206" s="9"/>
      <c r="E206" t="s" s="8">
        <v>5</v>
      </c>
      <c r="F206" t="s" s="8">
        <v>6</v>
      </c>
      <c r="G206" s="16">
        <v>1222</v>
      </c>
      <c r="H206" t="s" s="8">
        <v>6</v>
      </c>
      <c r="I206" s="16">
        <v>3177</v>
      </c>
      <c r="J206" t="s" s="8">
        <v>6</v>
      </c>
      <c r="K206" s="18"/>
      <c r="L206" t="s" s="8">
        <v>6</v>
      </c>
      <c r="M206" s="18"/>
      <c r="N206" t="s" s="8">
        <v>6</v>
      </c>
      <c r="O206" s="18"/>
      <c r="P206" t="s" s="8">
        <v>6</v>
      </c>
      <c r="Q206" s="18"/>
      <c r="R206" s="13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3.75" customHeight="1">
      <c r="A207" s="155"/>
      <c r="B207" t="s" s="124">
        <v>68</v>
      </c>
      <c r="C207" t="s" s="8">
        <v>7</v>
      </c>
      <c r="D207" s="25">
        <v>1000</v>
      </c>
      <c r="E207" s="9"/>
      <c r="F207" t="s" s="8">
        <v>8</v>
      </c>
      <c r="G207" s="26">
        <v>1100</v>
      </c>
      <c r="H207" t="s" s="8">
        <v>8</v>
      </c>
      <c r="I207" s="26">
        <v>1100</v>
      </c>
      <c r="J207" t="s" s="8">
        <v>8</v>
      </c>
      <c r="K207" s="27"/>
      <c r="L207" t="s" s="8">
        <v>8</v>
      </c>
      <c r="M207" s="27"/>
      <c r="N207" t="s" s="8">
        <v>8</v>
      </c>
      <c r="O207" s="27"/>
      <c r="P207" t="s" s="8">
        <v>8</v>
      </c>
      <c r="Q207" s="27"/>
      <c r="R207" s="13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3.55" customHeight="1">
      <c r="A208" s="155"/>
      <c r="B208" s="9"/>
      <c r="C208" t="s" s="8">
        <v>9</v>
      </c>
      <c r="D208" s="25">
        <v>1000</v>
      </c>
      <c r="E208" s="9"/>
      <c r="F208" t="s" s="8">
        <v>10</v>
      </c>
      <c r="G208" t="s" s="33">
        <v>336</v>
      </c>
      <c r="H208" t="s" s="8">
        <v>10</v>
      </c>
      <c r="I208" t="s" s="33">
        <v>24</v>
      </c>
      <c r="J208" t="s" s="8">
        <v>10</v>
      </c>
      <c r="K208" s="34"/>
      <c r="L208" t="s" s="8">
        <v>10</v>
      </c>
      <c r="M208" s="34"/>
      <c r="N208" t="s" s="8">
        <v>10</v>
      </c>
      <c r="O208" s="34"/>
      <c r="P208" t="s" s="8">
        <v>10</v>
      </c>
      <c r="Q208" s="34"/>
      <c r="R208" s="13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3.75" customHeight="1">
      <c r="A209" s="155"/>
      <c r="B209" t="s" s="8">
        <v>515</v>
      </c>
      <c r="C209" s="9"/>
      <c r="D209" s="9"/>
      <c r="E209" t="s" s="8">
        <v>14</v>
      </c>
      <c r="F209" t="s" s="8">
        <v>6</v>
      </c>
      <c r="G209" s="16">
        <v>2127</v>
      </c>
      <c r="H209" t="s" s="8">
        <v>6</v>
      </c>
      <c r="I209" s="16">
        <v>2159</v>
      </c>
      <c r="J209" t="s" s="8">
        <v>6</v>
      </c>
      <c r="K209" s="23"/>
      <c r="L209" t="s" s="8">
        <v>6</v>
      </c>
      <c r="M209" s="23"/>
      <c r="N209" t="s" s="8">
        <v>6</v>
      </c>
      <c r="O209" s="18"/>
      <c r="P209" t="s" s="8">
        <v>6</v>
      </c>
      <c r="Q209" s="18"/>
      <c r="R209" s="13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3.55" customHeight="1">
      <c r="A210" s="155"/>
      <c r="B210" t="s" s="8">
        <v>516</v>
      </c>
      <c r="C210" s="9"/>
      <c r="D210" s="9"/>
      <c r="E210" s="9"/>
      <c r="F210" t="s" s="8">
        <v>8</v>
      </c>
      <c r="G210" s="26">
        <v>1200</v>
      </c>
      <c r="H210" t="s" s="8">
        <v>8</v>
      </c>
      <c r="I210" s="26">
        <v>1200</v>
      </c>
      <c r="J210" t="s" s="8">
        <v>8</v>
      </c>
      <c r="K210" s="23"/>
      <c r="L210" t="s" s="8">
        <v>8</v>
      </c>
      <c r="M210" s="23"/>
      <c r="N210" t="s" s="8">
        <v>8</v>
      </c>
      <c r="O210" s="27"/>
      <c r="P210" t="s" s="8">
        <v>8</v>
      </c>
      <c r="Q210" s="27"/>
      <c r="R210" s="13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3.55" customHeight="1">
      <c r="A211" s="155"/>
      <c r="B211" s="24"/>
      <c r="C211" s="9"/>
      <c r="D211" s="9"/>
      <c r="E211" s="9"/>
      <c r="F211" t="s" s="8">
        <v>10</v>
      </c>
      <c r="G211" t="s" s="33">
        <v>336</v>
      </c>
      <c r="H211" t="s" s="8">
        <v>10</v>
      </c>
      <c r="I211" t="s" s="33">
        <v>24</v>
      </c>
      <c r="J211" t="s" s="8">
        <v>10</v>
      </c>
      <c r="K211" s="23"/>
      <c r="L211" t="s" s="8">
        <v>10</v>
      </c>
      <c r="M211" s="23"/>
      <c r="N211" t="s" s="8">
        <v>10</v>
      </c>
      <c r="O211" s="34"/>
      <c r="P211" t="s" s="8">
        <v>10</v>
      </c>
      <c r="Q211" s="34"/>
      <c r="R211" s="13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</sheetData>
  <mergeCells count="47">
    <mergeCell ref="M157:M159"/>
    <mergeCell ref="M160:M162"/>
    <mergeCell ref="A129:A134"/>
    <mergeCell ref="A171:A176"/>
    <mergeCell ref="A164:A169"/>
    <mergeCell ref="A136:A141"/>
    <mergeCell ref="A143:A148"/>
    <mergeCell ref="A150:A155"/>
    <mergeCell ref="A157:A162"/>
    <mergeCell ref="A199:A204"/>
    <mergeCell ref="A206:A211"/>
    <mergeCell ref="A1:K1"/>
    <mergeCell ref="A10:A15"/>
    <mergeCell ref="A17:A22"/>
    <mergeCell ref="A24:A29"/>
    <mergeCell ref="E2:G2"/>
    <mergeCell ref="K13:K15"/>
    <mergeCell ref="K34:K36"/>
    <mergeCell ref="K76:K78"/>
    <mergeCell ref="K83:K85"/>
    <mergeCell ref="K41:K43"/>
    <mergeCell ref="K55:K57"/>
    <mergeCell ref="K62:K64"/>
    <mergeCell ref="A31:A36"/>
    <mergeCell ref="O118:O120"/>
    <mergeCell ref="Q118:Q120"/>
    <mergeCell ref="K90:K92"/>
    <mergeCell ref="K97:K99"/>
    <mergeCell ref="K111:K113"/>
    <mergeCell ref="K118:K120"/>
    <mergeCell ref="A38:A43"/>
    <mergeCell ref="A45:A50"/>
    <mergeCell ref="A52:A57"/>
    <mergeCell ref="A59:A64"/>
    <mergeCell ref="A66:A71"/>
    <mergeCell ref="A73:A78"/>
    <mergeCell ref="A185:A190"/>
    <mergeCell ref="A192:A197"/>
    <mergeCell ref="A80:A85"/>
    <mergeCell ref="A87:A92"/>
    <mergeCell ref="A94:A99"/>
    <mergeCell ref="A101:A106"/>
    <mergeCell ref="A108:A113"/>
    <mergeCell ref="A115:A120"/>
    <mergeCell ref="A122:A127"/>
    <mergeCell ref="A178:A183"/>
    <mergeCell ref="A3:A8"/>
  </mergeCells>
  <pageMargins left="0.1" right="0.1" top="0.25" bottom="0.2" header="0.3" footer="0.3"/>
  <pageSetup firstPageNumber="1" fitToHeight="1" fitToWidth="1" scale="65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F258"/>
  <sheetViews>
    <sheetView workbookViewId="0" showGridLines="0" defaultGridColor="1"/>
  </sheetViews>
  <sheetFormatPr defaultColWidth="8.83333" defaultRowHeight="15" customHeight="1" outlineLevelRow="0" outlineLevelCol="0"/>
  <cols>
    <col min="1" max="1" width="7.5" style="267" customWidth="1"/>
    <col min="2" max="2" width="16.5" style="267" customWidth="1"/>
    <col min="3" max="3" width="11.8516" style="267" customWidth="1"/>
    <col min="4" max="4" width="5.67188" style="267" customWidth="1"/>
    <col min="5" max="5" width="6.35156" style="267" customWidth="1"/>
    <col min="6" max="6" width="5.35156" style="267" customWidth="1"/>
    <col min="7" max="7" width="9.17188" style="267" customWidth="1"/>
    <col min="8" max="8" width="5.5" style="267" customWidth="1"/>
    <col min="9" max="9" width="9.17188" style="267" customWidth="1"/>
    <col min="10" max="10" width="5.5" style="267" customWidth="1"/>
    <col min="11" max="11" width="8.35156" style="267" customWidth="1"/>
    <col min="12" max="12" width="5.85156" style="267" customWidth="1"/>
    <col min="13" max="13" width="8.67188" style="267" customWidth="1"/>
    <col min="14" max="14" width="5.67188" style="267" customWidth="1"/>
    <col min="15" max="15" width="8.35156" style="267" customWidth="1"/>
    <col min="16" max="16" width="6" style="267" customWidth="1"/>
    <col min="17" max="17" width="6.5" style="267" customWidth="1"/>
    <col min="18" max="18" width="6" style="267" customWidth="1"/>
    <col min="19" max="19" width="6.67188" style="267" customWidth="1"/>
    <col min="20" max="20" width="5.85156" style="267" customWidth="1"/>
    <col min="21" max="21" width="6.85156" style="267" customWidth="1"/>
    <col min="22" max="22" width="5.5" style="267" customWidth="1"/>
    <col min="23" max="23" width="8.85156" style="267" customWidth="1"/>
    <col min="24" max="24" width="5.67188" style="267" customWidth="1"/>
    <col min="25" max="25" width="8.17188" style="267" customWidth="1"/>
    <col min="26" max="26" width="6.17188" style="267" customWidth="1"/>
    <col min="27" max="27" width="6.5" style="267" customWidth="1"/>
    <col min="28" max="28" width="5.5" style="267" customWidth="1"/>
    <col min="29" max="29" width="7" style="267" customWidth="1"/>
    <col min="30" max="30" width="15.3516" style="267" customWidth="1"/>
    <col min="31" max="31" width="12.5" style="267" customWidth="1"/>
    <col min="32" max="32" width="8.85156" style="267" customWidth="1"/>
    <col min="33" max="16384" width="8.85156" style="267" customWidth="1"/>
  </cols>
  <sheetData>
    <row r="1" ht="25.5" customHeight="1">
      <c r="A1" t="s" s="268">
        <v>517</v>
      </c>
      <c r="B1" s="269"/>
      <c r="C1" s="270"/>
      <c r="D1" s="270"/>
      <c r="E1" s="270"/>
      <c r="F1" s="270"/>
      <c r="G1" s="270"/>
      <c r="H1" s="270"/>
      <c r="I1" s="270"/>
      <c r="J1" s="270"/>
      <c r="K1" s="270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2"/>
      <c r="AE1" s="273"/>
      <c r="AF1" s="7"/>
    </row>
    <row r="2" ht="16.5" customHeight="1">
      <c r="A2" t="s" s="243">
        <v>1</v>
      </c>
      <c r="B2" t="s" s="8">
        <v>2</v>
      </c>
      <c r="C2" s="274"/>
      <c r="D2" s="274"/>
      <c r="E2" s="274"/>
      <c r="F2" s="275">
        <v>46113</v>
      </c>
      <c r="G2" s="276"/>
      <c r="H2" s="275">
        <v>46143</v>
      </c>
      <c r="I2" s="276"/>
      <c r="J2" s="275">
        <v>46174</v>
      </c>
      <c r="K2" s="276"/>
      <c r="L2" s="275">
        <v>46204</v>
      </c>
      <c r="M2" s="276"/>
      <c r="N2" s="275">
        <v>46235</v>
      </c>
      <c r="O2" s="276"/>
      <c r="P2" s="275">
        <v>46266</v>
      </c>
      <c r="Q2" s="276"/>
      <c r="R2" s="275">
        <v>46296</v>
      </c>
      <c r="S2" s="276"/>
      <c r="T2" s="275">
        <v>46327</v>
      </c>
      <c r="U2" s="276"/>
      <c r="V2" s="275">
        <v>46357</v>
      </c>
      <c r="W2" s="276"/>
      <c r="X2" s="275">
        <v>46388</v>
      </c>
      <c r="Y2" s="276"/>
      <c r="Z2" s="275">
        <v>46419</v>
      </c>
      <c r="AA2" s="276"/>
      <c r="AB2" s="275">
        <v>46447</v>
      </c>
      <c r="AC2" s="276"/>
      <c r="AD2" t="s" s="277">
        <v>3</v>
      </c>
      <c r="AE2" s="177"/>
      <c r="AF2" s="7"/>
    </row>
    <row r="3" ht="13.75" customHeight="1">
      <c r="A3" s="251">
        <v>1</v>
      </c>
      <c r="B3" t="s" s="130">
        <v>518</v>
      </c>
      <c r="C3" s="9"/>
      <c r="D3" s="9"/>
      <c r="E3" t="s" s="8">
        <v>5</v>
      </c>
      <c r="F3" t="s" s="8">
        <v>6</v>
      </c>
      <c r="G3" s="16">
        <v>1079</v>
      </c>
      <c r="H3" t="s" s="8">
        <v>6</v>
      </c>
      <c r="I3" s="16">
        <v>3172</v>
      </c>
      <c r="J3" t="s" s="8">
        <v>6</v>
      </c>
      <c r="K3" s="18"/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243">
        <v>6</v>
      </c>
      <c r="Y3" s="18"/>
      <c r="Z3" t="s" s="243">
        <v>6</v>
      </c>
      <c r="AA3" s="18"/>
      <c r="AB3" t="s" s="243">
        <v>6</v>
      </c>
      <c r="AC3" s="18"/>
      <c r="AD3" s="180"/>
      <c r="AE3" s="177"/>
      <c r="AF3" s="7"/>
    </row>
    <row r="4" ht="13.55" customHeight="1">
      <c r="A4" s="23"/>
      <c r="B4" s="9"/>
      <c r="C4" s="9"/>
      <c r="D4" s="9"/>
      <c r="E4" s="9"/>
      <c r="F4" t="s" s="8">
        <v>8</v>
      </c>
      <c r="G4" s="26">
        <v>1200</v>
      </c>
      <c r="H4" t="s" s="8">
        <v>8</v>
      </c>
      <c r="I4" s="26">
        <v>1200</v>
      </c>
      <c r="J4" t="s" s="8">
        <v>8</v>
      </c>
      <c r="K4" s="27"/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243">
        <v>8</v>
      </c>
      <c r="Y4" s="27"/>
      <c r="Z4" t="s" s="243">
        <v>8</v>
      </c>
      <c r="AA4" s="27"/>
      <c r="AB4" t="s" s="243">
        <v>8</v>
      </c>
      <c r="AC4" s="27"/>
      <c r="AD4" s="182" cm="1">
        <f t="array" ref="AD4">G4+I4+K4+M4+O4+Q4+S4+U4+W4+Y4+AA4+AC4</f>
        <v>2400</v>
      </c>
      <c r="AE4" s="183" cm="1">
        <f t="array" ref="AE4">1100*12</f>
        <v>13200</v>
      </c>
      <c r="AF4" s="51" cm="1">
        <f t="array" ref="AF4">AE4-AD4</f>
        <v>10800</v>
      </c>
    </row>
    <row r="5" ht="13.55" customHeight="1">
      <c r="A5" s="23"/>
      <c r="B5" s="9"/>
      <c r="C5" t="s" s="8">
        <v>9</v>
      </c>
      <c r="D5" s="25">
        <v>1000</v>
      </c>
      <c r="E5" s="34"/>
      <c r="F5" t="s" s="8">
        <v>10</v>
      </c>
      <c r="G5" t="s" s="33">
        <v>17</v>
      </c>
      <c r="H5" t="s" s="8">
        <v>10</v>
      </c>
      <c r="I5" t="s" s="33">
        <v>142</v>
      </c>
      <c r="J5" t="s" s="8">
        <v>10</v>
      </c>
      <c r="K5" s="34"/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243">
        <v>10</v>
      </c>
      <c r="Y5" s="34"/>
      <c r="Z5" t="s" s="243">
        <v>10</v>
      </c>
      <c r="AA5" s="34"/>
      <c r="AB5" t="s" s="243">
        <v>10</v>
      </c>
      <c r="AC5" s="34"/>
      <c r="AD5" s="180"/>
      <c r="AE5" s="177"/>
      <c r="AF5" s="7"/>
    </row>
    <row r="6" ht="13.75" customHeight="1">
      <c r="A6" s="23"/>
      <c r="B6" t="s" s="8">
        <v>519</v>
      </c>
      <c r="C6" s="42"/>
      <c r="D6" s="42"/>
      <c r="E6" t="s" s="8">
        <v>14</v>
      </c>
      <c r="F6" t="s" s="8">
        <v>6</v>
      </c>
      <c r="G6" s="16">
        <v>2019</v>
      </c>
      <c r="H6" t="s" s="8">
        <v>6</v>
      </c>
      <c r="I6" s="16">
        <v>2155</v>
      </c>
      <c r="J6" t="s" s="8">
        <v>6</v>
      </c>
      <c r="K6" s="40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243">
        <v>6</v>
      </c>
      <c r="Y6" s="18"/>
      <c r="Z6" t="s" s="243">
        <v>6</v>
      </c>
      <c r="AA6" s="18"/>
      <c r="AB6" t="s" s="243">
        <v>6</v>
      </c>
      <c r="AC6" s="18"/>
      <c r="AD6" s="180"/>
      <c r="AE6" s="177"/>
      <c r="AF6" s="7"/>
    </row>
    <row r="7" ht="13.55" customHeight="1">
      <c r="A7" s="23"/>
      <c r="B7" t="s" s="8">
        <v>520</v>
      </c>
      <c r="C7" s="9"/>
      <c r="D7" s="9"/>
      <c r="E7" s="9"/>
      <c r="F7" t="s" s="8">
        <v>8</v>
      </c>
      <c r="G7" s="26">
        <v>1200</v>
      </c>
      <c r="H7" t="s" s="8">
        <v>8</v>
      </c>
      <c r="I7" s="26">
        <v>1200</v>
      </c>
      <c r="J7" t="s" s="8">
        <v>8</v>
      </c>
      <c r="K7" s="41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243">
        <v>8</v>
      </c>
      <c r="Y7" s="27"/>
      <c r="Z7" t="s" s="243">
        <v>8</v>
      </c>
      <c r="AA7" s="27"/>
      <c r="AB7" t="s" s="243">
        <v>8</v>
      </c>
      <c r="AC7" s="27"/>
      <c r="AD7" s="180" cm="1">
        <f t="array" ref="AD7">G7+I7+K7+M7+O7+Q7+S7+U7+W7+Y7+AA7+AC7</f>
      </c>
      <c r="AE7" s="183" cm="1">
        <f t="array" ref="AE7">1100*11</f>
        <v>12100</v>
      </c>
      <c r="AF7" s="7" cm="1">
        <f t="array" ref="AF7">AE7-AD7</f>
      </c>
    </row>
    <row r="8" ht="13.55" customHeight="1">
      <c r="A8" s="23"/>
      <c r="B8" s="9"/>
      <c r="C8" s="9"/>
      <c r="D8" s="9"/>
      <c r="E8" s="9"/>
      <c r="F8" t="s" s="8">
        <v>10</v>
      </c>
      <c r="G8" t="s" s="33">
        <v>17</v>
      </c>
      <c r="H8" t="s" s="8">
        <v>10</v>
      </c>
      <c r="I8" t="s" s="33">
        <v>142</v>
      </c>
      <c r="J8" t="s" s="8">
        <v>10</v>
      </c>
      <c r="K8" s="45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243">
        <v>10</v>
      </c>
      <c r="Y8" s="34"/>
      <c r="Z8" t="s" s="243">
        <v>10</v>
      </c>
      <c r="AA8" s="34"/>
      <c r="AB8" t="s" s="243">
        <v>10</v>
      </c>
      <c r="AC8" s="34"/>
      <c r="AD8" s="180"/>
      <c r="AE8" s="177"/>
      <c r="AF8" s="7"/>
    </row>
    <row r="9" ht="13.55" customHeight="1">
      <c r="A9" s="253"/>
      <c r="B9" s="9"/>
      <c r="C9" s="9"/>
      <c r="D9" s="9"/>
      <c r="E9" s="9"/>
      <c r="F9" s="9"/>
      <c r="G9" s="27"/>
      <c r="H9" s="9"/>
      <c r="I9" s="9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253"/>
      <c r="Y9" s="253"/>
      <c r="Z9" s="253"/>
      <c r="AA9" s="253"/>
      <c r="AB9" s="253"/>
      <c r="AC9" s="253"/>
      <c r="AD9" s="180"/>
      <c r="AE9" s="177"/>
      <c r="AF9" s="7"/>
    </row>
    <row r="10" ht="13.75" customHeight="1">
      <c r="A10" s="254">
        <v>2</v>
      </c>
      <c r="B10" t="s" s="130">
        <v>521</v>
      </c>
      <c r="C10" s="9"/>
      <c r="D10" s="9"/>
      <c r="E10" t="s" s="8">
        <v>5</v>
      </c>
      <c r="F10" t="s" s="8">
        <v>6</v>
      </c>
      <c r="G10" s="16">
        <v>1128</v>
      </c>
      <c r="H10" t="s" s="8">
        <v>6</v>
      </c>
      <c r="I10" s="16">
        <v>1128</v>
      </c>
      <c r="J10" t="s" s="8">
        <v>6</v>
      </c>
      <c r="K10" s="16">
        <v>1128</v>
      </c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243">
        <v>6</v>
      </c>
      <c r="Y10" s="18"/>
      <c r="Z10" t="s" s="243">
        <v>6</v>
      </c>
      <c r="AA10" s="18"/>
      <c r="AB10" t="s" s="243">
        <v>6</v>
      </c>
      <c r="AC10" s="18"/>
      <c r="AD10" s="180"/>
      <c r="AE10" s="177"/>
      <c r="AF10" s="7"/>
    </row>
    <row r="11" ht="13.55" customHeight="1">
      <c r="A11" s="255"/>
      <c r="B11" s="9"/>
      <c r="C11" s="9"/>
      <c r="D11" s="9"/>
      <c r="E11" s="9"/>
      <c r="F11" t="s" s="8">
        <v>8</v>
      </c>
      <c r="G11" s="26">
        <v>1200</v>
      </c>
      <c r="H11" t="s" s="8">
        <v>8</v>
      </c>
      <c r="I11" s="26">
        <v>1200</v>
      </c>
      <c r="J11" t="s" s="8">
        <v>8</v>
      </c>
      <c r="K11" s="26">
        <v>1200</v>
      </c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243">
        <v>8</v>
      </c>
      <c r="Y11" s="27"/>
      <c r="Z11" t="s" s="243">
        <v>8</v>
      </c>
      <c r="AA11" s="27"/>
      <c r="AB11" t="s" s="243">
        <v>8</v>
      </c>
      <c r="AC11" s="27"/>
      <c r="AD11" s="182" cm="1">
        <f t="array" ref="AD11">G11+I11+K11+M11+O11+Q11+S11+U11+W11+Y11+AA11+AC11</f>
        <v>3600</v>
      </c>
      <c r="AE11" s="183" cm="1">
        <f t="array" ref="AE11">1100*12</f>
        <v>13200</v>
      </c>
      <c r="AF11" s="51" cm="1">
        <f t="array" ref="AF11">AE11-AD11</f>
        <v>9600</v>
      </c>
    </row>
    <row r="12" ht="13.55" customHeight="1">
      <c r="A12" s="255"/>
      <c r="B12" s="9"/>
      <c r="C12" t="s" s="8">
        <v>9</v>
      </c>
      <c r="D12" s="25">
        <v>1000</v>
      </c>
      <c r="E12" s="9"/>
      <c r="F12" t="s" s="8">
        <v>10</v>
      </c>
      <c r="G12" t="s" s="33">
        <v>93</v>
      </c>
      <c r="H12" t="s" s="8">
        <v>10</v>
      </c>
      <c r="I12" t="s" s="33">
        <v>93</v>
      </c>
      <c r="J12" t="s" s="8">
        <v>10</v>
      </c>
      <c r="K12" t="s" s="33">
        <v>93</v>
      </c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243">
        <v>10</v>
      </c>
      <c r="Y12" s="34"/>
      <c r="Z12" t="s" s="243">
        <v>10</v>
      </c>
      <c r="AA12" s="34"/>
      <c r="AB12" t="s" s="243">
        <v>10</v>
      </c>
      <c r="AC12" s="34"/>
      <c r="AD12" s="180"/>
      <c r="AE12" s="177"/>
      <c r="AF12" s="7"/>
    </row>
    <row r="13" ht="13.75" customHeight="1">
      <c r="A13" s="255"/>
      <c r="B13" t="s" s="8">
        <v>522</v>
      </c>
      <c r="C13" s="9"/>
      <c r="D13" s="9"/>
      <c r="E13" t="s" s="8">
        <v>14</v>
      </c>
      <c r="F13" t="s" s="8">
        <v>6</v>
      </c>
      <c r="G13" s="16">
        <v>2051</v>
      </c>
      <c r="H13" t="s" s="8">
        <v>6</v>
      </c>
      <c r="I13" s="16">
        <v>2051</v>
      </c>
      <c r="J13" t="s" s="8">
        <v>6</v>
      </c>
      <c r="K13" s="40"/>
      <c r="L13" t="s" s="8">
        <v>6</v>
      </c>
      <c r="M13" s="18"/>
      <c r="N13" t="s" s="8">
        <v>6</v>
      </c>
      <c r="O13" s="18"/>
      <c r="P13" t="s" s="8">
        <v>6</v>
      </c>
      <c r="Q13" s="18"/>
      <c r="R13" t="s" s="8">
        <v>6</v>
      </c>
      <c r="S13" s="18"/>
      <c r="T13" t="s" s="8">
        <v>6</v>
      </c>
      <c r="U13" s="18"/>
      <c r="V13" t="s" s="8">
        <v>6</v>
      </c>
      <c r="W13" s="18"/>
      <c r="X13" t="s" s="243">
        <v>6</v>
      </c>
      <c r="Y13" s="18"/>
      <c r="Z13" t="s" s="243">
        <v>6</v>
      </c>
      <c r="AA13" s="18"/>
      <c r="AB13" t="s" s="243">
        <v>6</v>
      </c>
      <c r="AC13" s="18"/>
      <c r="AD13" s="180"/>
      <c r="AE13" s="177"/>
      <c r="AF13" s="7"/>
    </row>
    <row r="14" ht="13.55" customHeight="1">
      <c r="A14" s="255"/>
      <c r="B14" t="s" s="8">
        <v>523</v>
      </c>
      <c r="C14" s="9"/>
      <c r="D14" s="9"/>
      <c r="E14" s="9"/>
      <c r="F14" t="s" s="8">
        <v>8</v>
      </c>
      <c r="G14" s="26">
        <v>600</v>
      </c>
      <c r="H14" t="s" s="8">
        <v>8</v>
      </c>
      <c r="I14" s="26">
        <v>600</v>
      </c>
      <c r="J14" t="s" s="8">
        <v>8</v>
      </c>
      <c r="K14" s="41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243">
        <v>8</v>
      </c>
      <c r="Y14" s="27"/>
      <c r="Z14" t="s" s="243">
        <v>8</v>
      </c>
      <c r="AA14" s="27"/>
      <c r="AB14" t="s" s="243">
        <v>8</v>
      </c>
      <c r="AC14" s="27"/>
      <c r="AD14" s="180" cm="1">
        <f t="array" ref="AD14">G14+I14+K14+M14+O14+Q14+S14+U14+W14+Y14+AA14+AC14</f>
      </c>
      <c r="AE14" s="183" cm="1">
        <f t="array" ref="AE14">700*11</f>
        <v>7700</v>
      </c>
      <c r="AF14" s="7" cm="1">
        <f t="array" ref="AF14">AE14-AD14</f>
      </c>
    </row>
    <row r="15" ht="13.55" customHeight="1">
      <c r="A15" s="255"/>
      <c r="B15" s="9"/>
      <c r="C15" s="9"/>
      <c r="D15" s="9"/>
      <c r="E15" s="9"/>
      <c r="F15" t="s" s="8">
        <v>10</v>
      </c>
      <c r="G15" t="s" s="33">
        <v>93</v>
      </c>
      <c r="H15" t="s" s="8">
        <v>10</v>
      </c>
      <c r="I15" t="s" s="33">
        <v>93</v>
      </c>
      <c r="J15" t="s" s="8">
        <v>10</v>
      </c>
      <c r="K15" s="45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243">
        <v>10</v>
      </c>
      <c r="Y15" s="34"/>
      <c r="Z15" t="s" s="243">
        <v>10</v>
      </c>
      <c r="AA15" s="34"/>
      <c r="AB15" t="s" s="243">
        <v>10</v>
      </c>
      <c r="AC15" s="34"/>
      <c r="AD15" s="180"/>
      <c r="AE15" s="177"/>
      <c r="AF15" s="7"/>
    </row>
    <row r="16" ht="13.55" customHeight="1">
      <c r="A16" s="253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253"/>
      <c r="Y16" s="253"/>
      <c r="Z16" s="253"/>
      <c r="AA16" s="253"/>
      <c r="AB16" s="253"/>
      <c r="AC16" s="253"/>
      <c r="AD16" s="180"/>
      <c r="AE16" s="177"/>
      <c r="AF16" s="7"/>
    </row>
    <row r="17" ht="13.75" customHeight="1">
      <c r="A17" s="254">
        <v>3</v>
      </c>
      <c r="B17" t="s" s="130">
        <v>524</v>
      </c>
      <c r="C17" s="9"/>
      <c r="D17" s="9"/>
      <c r="E17" t="s" s="8">
        <v>5</v>
      </c>
      <c r="F17" t="s" s="8">
        <v>6</v>
      </c>
      <c r="G17" s="16">
        <v>1154</v>
      </c>
      <c r="H17" t="s" s="8">
        <v>6</v>
      </c>
      <c r="I17" s="16">
        <v>3200</v>
      </c>
      <c r="J17" t="s" s="8">
        <v>6</v>
      </c>
      <c r="K17" s="18"/>
      <c r="L17" t="s" s="8">
        <v>6</v>
      </c>
      <c r="M17" s="18"/>
      <c r="N17" t="s" s="8">
        <v>6</v>
      </c>
      <c r="O17" s="18"/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243">
        <v>6</v>
      </c>
      <c r="Y17" s="18"/>
      <c r="Z17" t="s" s="243">
        <v>6</v>
      </c>
      <c r="AA17" s="18"/>
      <c r="AB17" t="s" s="243">
        <v>6</v>
      </c>
      <c r="AC17" s="18"/>
      <c r="AD17" s="180"/>
      <c r="AE17" s="177"/>
      <c r="AF17" s="7"/>
    </row>
    <row r="18" ht="13.55" customHeight="1">
      <c r="A18" s="255"/>
      <c r="B18" s="9"/>
      <c r="C18" s="9"/>
      <c r="D18" s="9"/>
      <c r="E18" s="9"/>
      <c r="F18" t="s" s="8">
        <v>8</v>
      </c>
      <c r="G18" s="26">
        <v>1200</v>
      </c>
      <c r="H18" t="s" s="8">
        <v>8</v>
      </c>
      <c r="I18" s="26">
        <v>1200</v>
      </c>
      <c r="J18" t="s" s="8">
        <v>8</v>
      </c>
      <c r="K18" s="27"/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243">
        <v>8</v>
      </c>
      <c r="Y18" s="27"/>
      <c r="Z18" t="s" s="243">
        <v>8</v>
      </c>
      <c r="AA18" s="27"/>
      <c r="AB18" t="s" s="243">
        <v>8</v>
      </c>
      <c r="AC18" s="27"/>
      <c r="AD18" s="182" cm="1">
        <f t="array" ref="AD18">G18+I18+K18+M18+O18+Q18+S18+U18+W18+Y18+AA18+AC18</f>
        <v>2400</v>
      </c>
      <c r="AE18" s="183" cm="1">
        <f t="array" ref="AE18">1100*12</f>
        <v>13200</v>
      </c>
      <c r="AF18" s="51" cm="1">
        <f t="array" ref="AF18">AE18-AD18</f>
        <v>10800</v>
      </c>
    </row>
    <row r="19" ht="13.55" customHeight="1">
      <c r="A19" s="255"/>
      <c r="B19" s="9"/>
      <c r="C19" t="s" s="8">
        <v>9</v>
      </c>
      <c r="D19" s="25">
        <v>1000</v>
      </c>
      <c r="E19" s="9"/>
      <c r="F19" t="s" s="8">
        <v>10</v>
      </c>
      <c r="G19" t="s" s="33">
        <v>70</v>
      </c>
      <c r="H19" t="s" s="8">
        <v>10</v>
      </c>
      <c r="I19" t="s" s="33">
        <v>24</v>
      </c>
      <c r="J19" t="s" s="8">
        <v>10</v>
      </c>
      <c r="K19" s="34"/>
      <c r="L19" t="s" s="8">
        <v>10</v>
      </c>
      <c r="M19" s="34"/>
      <c r="N19" t="s" s="8">
        <v>10</v>
      </c>
      <c r="O19" s="34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243">
        <v>10</v>
      </c>
      <c r="Y19" s="34"/>
      <c r="Z19" t="s" s="243">
        <v>10</v>
      </c>
      <c r="AA19" s="34"/>
      <c r="AB19" t="s" s="243">
        <v>10</v>
      </c>
      <c r="AC19" s="34"/>
      <c r="AD19" s="180"/>
      <c r="AE19" s="177"/>
      <c r="AF19" s="7"/>
    </row>
    <row r="20" ht="13.75" customHeight="1">
      <c r="A20" s="255"/>
      <c r="B20" t="s" s="8">
        <v>525</v>
      </c>
      <c r="C20" s="9"/>
      <c r="D20" s="9"/>
      <c r="E20" t="s" s="8">
        <v>14</v>
      </c>
      <c r="F20" t="s" s="8">
        <v>6</v>
      </c>
      <c r="G20" s="16">
        <v>2070</v>
      </c>
      <c r="H20" t="s" s="8">
        <v>6</v>
      </c>
      <c r="I20" s="16">
        <v>2173</v>
      </c>
      <c r="J20" t="s" s="8">
        <v>6</v>
      </c>
      <c r="K20" s="40"/>
      <c r="L20" t="s" s="8">
        <v>6</v>
      </c>
      <c r="M20" s="18"/>
      <c r="N20" t="s" s="8">
        <v>6</v>
      </c>
      <c r="O20" s="18"/>
      <c r="P20" t="s" s="8">
        <v>6</v>
      </c>
      <c r="Q20" s="18"/>
      <c r="R20" t="s" s="8">
        <v>6</v>
      </c>
      <c r="S20" s="18"/>
      <c r="T20" t="s" s="8">
        <v>6</v>
      </c>
      <c r="U20" s="18"/>
      <c r="V20" t="s" s="8">
        <v>6</v>
      </c>
      <c r="W20" s="18"/>
      <c r="X20" t="s" s="243">
        <v>6</v>
      </c>
      <c r="Y20" s="18"/>
      <c r="Z20" t="s" s="243">
        <v>6</v>
      </c>
      <c r="AA20" s="18"/>
      <c r="AB20" t="s" s="243">
        <v>6</v>
      </c>
      <c r="AC20" s="18"/>
      <c r="AD20" s="180"/>
      <c r="AE20" s="177"/>
      <c r="AF20" s="7"/>
    </row>
    <row r="21" ht="13.55" customHeight="1">
      <c r="A21" s="255"/>
      <c r="B21" t="s" s="8">
        <v>526</v>
      </c>
      <c r="C21" s="9"/>
      <c r="D21" s="9"/>
      <c r="E21" s="9"/>
      <c r="F21" t="s" s="8">
        <v>8</v>
      </c>
      <c r="G21" s="26">
        <v>600</v>
      </c>
      <c r="H21" t="s" s="8">
        <v>8</v>
      </c>
      <c r="I21" s="26">
        <v>600</v>
      </c>
      <c r="J21" t="s" s="8">
        <v>8</v>
      </c>
      <c r="K21" s="41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243">
        <v>8</v>
      </c>
      <c r="Y21" s="27"/>
      <c r="Z21" t="s" s="243">
        <v>8</v>
      </c>
      <c r="AA21" s="27"/>
      <c r="AB21" t="s" s="243">
        <v>8</v>
      </c>
      <c r="AC21" s="27"/>
      <c r="AD21" s="180" cm="1">
        <f t="array" ref="AD21">G21+I21+K21+M21+O21+Q21+S21+U21+W21+Y21+AA21+AC21</f>
      </c>
      <c r="AE21" s="183" cm="1">
        <f t="array" ref="AE21">500*11</f>
        <v>5500</v>
      </c>
      <c r="AF21" s="7" cm="1">
        <f t="array" ref="AF21">AE21-AD21</f>
      </c>
    </row>
    <row r="22" ht="13.55" customHeight="1">
      <c r="A22" s="255"/>
      <c r="B22" s="9"/>
      <c r="C22" s="9"/>
      <c r="D22" s="9"/>
      <c r="E22" s="9"/>
      <c r="F22" t="s" s="8">
        <v>10</v>
      </c>
      <c r="G22" t="s" s="33">
        <v>70</v>
      </c>
      <c r="H22" t="s" s="8">
        <v>10</v>
      </c>
      <c r="I22" t="s" s="33">
        <v>24</v>
      </c>
      <c r="J22" t="s" s="8">
        <v>10</v>
      </c>
      <c r="K22" s="4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243">
        <v>10</v>
      </c>
      <c r="Y22" s="34"/>
      <c r="Z22" t="s" s="243">
        <v>10</v>
      </c>
      <c r="AA22" s="34"/>
      <c r="AB22" t="s" s="243">
        <v>10</v>
      </c>
      <c r="AC22" s="34"/>
      <c r="AD22" s="180"/>
      <c r="AE22" s="177"/>
      <c r="AF22" s="7"/>
    </row>
    <row r="23" ht="13.55" customHeight="1">
      <c r="A23" s="253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253"/>
      <c r="Y23" s="253"/>
      <c r="Z23" s="253"/>
      <c r="AA23" s="253"/>
      <c r="AB23" s="253"/>
      <c r="AC23" s="253"/>
      <c r="AD23" s="180"/>
      <c r="AE23" s="177"/>
      <c r="AF23" s="7"/>
    </row>
    <row r="24" ht="13.75" customHeight="1">
      <c r="A24" s="254">
        <v>4</v>
      </c>
      <c r="B24" t="s" s="130">
        <v>527</v>
      </c>
      <c r="C24" s="9"/>
      <c r="D24" s="9"/>
      <c r="E24" t="s" s="8">
        <v>5</v>
      </c>
      <c r="F24" t="s" s="8">
        <v>6</v>
      </c>
      <c r="G24" s="16">
        <v>1191</v>
      </c>
      <c r="H24" t="s" s="8">
        <v>6</v>
      </c>
      <c r="I24" s="16">
        <v>3220</v>
      </c>
      <c r="J24" t="s" s="8">
        <v>6</v>
      </c>
      <c r="K24" s="18"/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243">
        <v>6</v>
      </c>
      <c r="Y24" s="131"/>
      <c r="Z24" t="s" s="243">
        <v>6</v>
      </c>
      <c r="AA24" s="131"/>
      <c r="AB24" t="s" s="243">
        <v>6</v>
      </c>
      <c r="AC24" s="131"/>
      <c r="AD24" s="180"/>
      <c r="AE24" s="177"/>
      <c r="AF24" s="7"/>
    </row>
    <row r="25" ht="13.55" customHeight="1">
      <c r="A25" s="255"/>
      <c r="B25" s="56"/>
      <c r="C25" s="27"/>
      <c r="D25" s="27"/>
      <c r="E25" s="9"/>
      <c r="F25" t="s" s="8">
        <v>8</v>
      </c>
      <c r="G25" s="26">
        <v>600</v>
      </c>
      <c r="H25" t="s" s="8">
        <v>8</v>
      </c>
      <c r="I25" s="26">
        <v>600</v>
      </c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243">
        <v>8</v>
      </c>
      <c r="Y25" s="27"/>
      <c r="Z25" t="s" s="243">
        <v>8</v>
      </c>
      <c r="AA25" s="27"/>
      <c r="AB25" t="s" s="243">
        <v>8</v>
      </c>
      <c r="AC25" s="27"/>
      <c r="AD25" s="182" cm="1">
        <f t="array" ref="AD25">G25+I25+K25+M25+O25+Q25+S25+U25+W25+Y25+AA25+AC25</f>
        <v>1200</v>
      </c>
      <c r="AE25" s="183" cm="1">
        <f t="array" ref="AE25">550*12</f>
        <v>6600</v>
      </c>
      <c r="AF25" s="51" cm="1">
        <f t="array" ref="AF25">AE25-AD25</f>
        <v>5400</v>
      </c>
    </row>
    <row r="26" ht="13.55" customHeight="1">
      <c r="A26" s="255"/>
      <c r="B26" t="s" s="144">
        <v>60</v>
      </c>
      <c r="C26" t="s" s="8">
        <v>9</v>
      </c>
      <c r="D26" s="26">
        <v>1000</v>
      </c>
      <c r="E26" t="s" s="33">
        <v>17</v>
      </c>
      <c r="F26" t="s" s="8">
        <v>10</v>
      </c>
      <c r="G26" t="s" s="33">
        <v>39</v>
      </c>
      <c r="H26" t="s" s="8">
        <v>10</v>
      </c>
      <c r="I26" t="s" s="33">
        <v>55</v>
      </c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243">
        <v>10</v>
      </c>
      <c r="Y26" s="34"/>
      <c r="Z26" t="s" s="243">
        <v>10</v>
      </c>
      <c r="AA26" s="34"/>
      <c r="AB26" t="s" s="243">
        <v>10</v>
      </c>
      <c r="AC26" s="34"/>
      <c r="AD26" s="180"/>
      <c r="AE26" s="177"/>
      <c r="AF26" s="7"/>
    </row>
    <row r="27" ht="13.75" customHeight="1">
      <c r="A27" s="255"/>
      <c r="B27" t="s" s="8">
        <v>528</v>
      </c>
      <c r="C27" s="9"/>
      <c r="D27" s="9"/>
      <c r="E27" t="s" s="8">
        <v>14</v>
      </c>
      <c r="F27" t="s" s="8">
        <v>6</v>
      </c>
      <c r="G27" s="18"/>
      <c r="H27" t="s" s="8">
        <v>6</v>
      </c>
      <c r="I27" s="18"/>
      <c r="J27" t="s" s="8">
        <v>6</v>
      </c>
      <c r="K27" s="131"/>
      <c r="L27" t="s" s="8">
        <v>6</v>
      </c>
      <c r="M27" s="18"/>
      <c r="N27" t="s" s="8">
        <v>6</v>
      </c>
      <c r="O27" s="18"/>
      <c r="P27" t="s" s="8">
        <v>6</v>
      </c>
      <c r="Q27" s="18"/>
      <c r="R27" t="s" s="8">
        <v>6</v>
      </c>
      <c r="S27" s="18"/>
      <c r="T27" t="s" s="8">
        <v>6</v>
      </c>
      <c r="U27" s="18"/>
      <c r="V27" t="s" s="8">
        <v>6</v>
      </c>
      <c r="W27" s="18"/>
      <c r="X27" t="s" s="243">
        <v>6</v>
      </c>
      <c r="Y27" s="131"/>
      <c r="Z27" t="s" s="243">
        <v>6</v>
      </c>
      <c r="AA27" s="131"/>
      <c r="AB27" t="s" s="243">
        <v>6</v>
      </c>
      <c r="AC27" s="253"/>
      <c r="AD27" s="180"/>
      <c r="AE27" s="177"/>
      <c r="AF27" s="7"/>
    </row>
    <row r="28" ht="13.55" customHeight="1">
      <c r="A28" s="255"/>
      <c r="B28" t="s" s="8">
        <v>529</v>
      </c>
      <c r="C28" s="9"/>
      <c r="D28" s="9"/>
      <c r="E28" s="9"/>
      <c r="F28" t="s" s="8">
        <v>8</v>
      </c>
      <c r="G28" s="27"/>
      <c r="H28" t="s" s="8">
        <v>8</v>
      </c>
      <c r="I28" s="27"/>
      <c r="J28" t="s" s="8">
        <v>8</v>
      </c>
      <c r="K28" s="27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243">
        <v>8</v>
      </c>
      <c r="Y28" s="27"/>
      <c r="Z28" t="s" s="243">
        <v>8</v>
      </c>
      <c r="AA28" s="27"/>
      <c r="AB28" t="s" s="243">
        <v>8</v>
      </c>
      <c r="AC28" s="253"/>
      <c r="AD28" s="182" cm="1">
        <f t="array" ref="AD28">G28+I28+K28+M28+O28+Q28+S28+U28+W28+Y28+AA28+AC28</f>
        <v>0</v>
      </c>
      <c r="AE28" s="183" cm="1">
        <f t="array" ref="AE28">500*11</f>
        <v>5500</v>
      </c>
      <c r="AF28" s="51" cm="1">
        <f t="array" ref="AF28">AE28-AD28</f>
        <v>5500</v>
      </c>
    </row>
    <row r="29" ht="13.55" customHeight="1">
      <c r="A29" s="255"/>
      <c r="B29" s="9"/>
      <c r="C29" s="9"/>
      <c r="D29" s="9"/>
      <c r="E29" s="9"/>
      <c r="F29" t="s" s="8">
        <v>10</v>
      </c>
      <c r="G29" s="34"/>
      <c r="H29" t="s" s="8">
        <v>10</v>
      </c>
      <c r="I29" s="34"/>
      <c r="J29" t="s" s="8">
        <v>10</v>
      </c>
      <c r="K29" s="34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243">
        <v>10</v>
      </c>
      <c r="Y29" s="34"/>
      <c r="Z29" t="s" s="243">
        <v>10</v>
      </c>
      <c r="AA29" s="34"/>
      <c r="AB29" t="s" s="243">
        <v>10</v>
      </c>
      <c r="AC29" s="253"/>
      <c r="AD29" s="180"/>
      <c r="AE29" s="177"/>
      <c r="AF29" s="7"/>
    </row>
    <row r="30" ht="13.55" customHeight="1">
      <c r="A30" s="253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253"/>
      <c r="Y30" s="253"/>
      <c r="Z30" s="253"/>
      <c r="AA30" s="253"/>
      <c r="AB30" s="253"/>
      <c r="AC30" s="253"/>
      <c r="AD30" s="180"/>
      <c r="AE30" s="177"/>
      <c r="AF30" s="7"/>
    </row>
    <row r="31" ht="13.75" customHeight="1">
      <c r="A31" s="254">
        <v>5</v>
      </c>
      <c r="B31" t="s" s="130">
        <v>530</v>
      </c>
      <c r="C31" s="9"/>
      <c r="D31" s="9"/>
      <c r="E31" t="s" s="8">
        <v>5</v>
      </c>
      <c r="F31" t="s" s="8">
        <v>6</v>
      </c>
      <c r="G31" s="16">
        <v>1190</v>
      </c>
      <c r="H31" t="s" s="8">
        <v>6</v>
      </c>
      <c r="I31" s="16">
        <v>3219</v>
      </c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243">
        <v>6</v>
      </c>
      <c r="Y31" s="131"/>
      <c r="Z31" t="s" s="243">
        <v>6</v>
      </c>
      <c r="AA31" s="131"/>
      <c r="AB31" t="s" s="243">
        <v>6</v>
      </c>
      <c r="AC31" s="131"/>
      <c r="AD31" s="180"/>
      <c r="AE31" s="177"/>
      <c r="AF31" s="7"/>
    </row>
    <row r="32" ht="13.55" customHeight="1">
      <c r="A32" s="255"/>
      <c r="B32" s="27"/>
      <c r="C32" s="27"/>
      <c r="D32" s="27"/>
      <c r="E32" s="9"/>
      <c r="F32" t="s" s="8">
        <v>8</v>
      </c>
      <c r="G32" s="26">
        <v>1200</v>
      </c>
      <c r="H32" t="s" s="8">
        <v>8</v>
      </c>
      <c r="I32" s="26">
        <v>1200</v>
      </c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243">
        <v>8</v>
      </c>
      <c r="Y32" s="27"/>
      <c r="Z32" t="s" s="243">
        <v>8</v>
      </c>
      <c r="AA32" s="27"/>
      <c r="AB32" t="s" s="243">
        <v>8</v>
      </c>
      <c r="AC32" s="27"/>
      <c r="AD32" s="182" cm="1">
        <f t="array" ref="AD32">G32+I32+K32+M32+O32+Q32+S32+U32+W32+Y32+AA32+AC32</f>
        <v>2400</v>
      </c>
      <c r="AE32" s="183" cm="1">
        <f t="array" ref="AE32">1100*12</f>
        <v>13200</v>
      </c>
      <c r="AF32" s="51" cm="1">
        <f t="array" ref="AF32">AE32-AD32</f>
        <v>10800</v>
      </c>
    </row>
    <row r="33" ht="13.55" customHeight="1">
      <c r="A33" s="255"/>
      <c r="B33" s="27"/>
      <c r="C33" t="s" s="8">
        <v>9</v>
      </c>
      <c r="D33" s="26">
        <v>1000</v>
      </c>
      <c r="E33" t="s" s="33">
        <v>17</v>
      </c>
      <c r="F33" t="s" s="8">
        <v>10</v>
      </c>
      <c r="G33" t="s" s="33">
        <v>39</v>
      </c>
      <c r="H33" t="s" s="8">
        <v>10</v>
      </c>
      <c r="I33" t="s" s="33">
        <v>55</v>
      </c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243">
        <v>10</v>
      </c>
      <c r="Y33" s="34"/>
      <c r="Z33" t="s" s="243">
        <v>10</v>
      </c>
      <c r="AA33" s="34"/>
      <c r="AB33" t="s" s="243">
        <v>10</v>
      </c>
      <c r="AC33" s="34"/>
      <c r="AD33" s="180"/>
      <c r="AE33" s="177"/>
      <c r="AF33" s="7"/>
    </row>
    <row r="34" ht="13.75" customHeight="1">
      <c r="A34" s="255"/>
      <c r="B34" t="s" s="8">
        <v>528</v>
      </c>
      <c r="C34" s="9"/>
      <c r="D34" s="9"/>
      <c r="E34" t="s" s="8">
        <v>14</v>
      </c>
      <c r="F34" t="s" s="8">
        <v>6</v>
      </c>
      <c r="G34" s="18"/>
      <c r="H34" t="s" s="8">
        <v>6</v>
      </c>
      <c r="I34" s="18"/>
      <c r="J34" t="s" s="8">
        <v>6</v>
      </c>
      <c r="K34" s="131"/>
      <c r="L34" t="s" s="8">
        <v>6</v>
      </c>
      <c r="M34" s="18"/>
      <c r="N34" t="s" s="8">
        <v>6</v>
      </c>
      <c r="O34" s="18"/>
      <c r="P34" t="s" s="8">
        <v>6</v>
      </c>
      <c r="Q34" s="18"/>
      <c r="R34" t="s" s="8">
        <v>6</v>
      </c>
      <c r="S34" s="18"/>
      <c r="T34" t="s" s="8">
        <v>6</v>
      </c>
      <c r="U34" s="18"/>
      <c r="V34" t="s" s="8">
        <v>6</v>
      </c>
      <c r="W34" s="18"/>
      <c r="X34" t="s" s="243">
        <v>6</v>
      </c>
      <c r="Y34" s="131"/>
      <c r="Z34" t="s" s="243">
        <v>6</v>
      </c>
      <c r="AA34" s="131"/>
      <c r="AB34" t="s" s="243">
        <v>6</v>
      </c>
      <c r="AC34" s="253"/>
      <c r="AD34" s="180"/>
      <c r="AE34" s="177"/>
      <c r="AF34" s="7"/>
    </row>
    <row r="35" ht="13.55" customHeight="1">
      <c r="A35" s="255"/>
      <c r="B35" t="s" s="8">
        <v>529</v>
      </c>
      <c r="C35" s="9"/>
      <c r="D35" s="9"/>
      <c r="E35" s="9"/>
      <c r="F35" t="s" s="8">
        <v>8</v>
      </c>
      <c r="G35" s="27"/>
      <c r="H35" t="s" s="8">
        <v>8</v>
      </c>
      <c r="I35" s="27"/>
      <c r="J35" t="s" s="8">
        <v>8</v>
      </c>
      <c r="K35" s="27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27"/>
      <c r="T35" t="s" s="8">
        <v>8</v>
      </c>
      <c r="U35" s="27"/>
      <c r="V35" t="s" s="8">
        <v>8</v>
      </c>
      <c r="W35" s="27"/>
      <c r="X35" t="s" s="243">
        <v>8</v>
      </c>
      <c r="Y35" s="27"/>
      <c r="Z35" t="s" s="243">
        <v>8</v>
      </c>
      <c r="AA35" s="27"/>
      <c r="AB35" t="s" s="243">
        <v>8</v>
      </c>
      <c r="AC35" s="253"/>
      <c r="AD35" s="182" cm="1">
        <f t="array" ref="AD35">G35+I35+K35+M35+O35+Q35+S35+U35+W35+Y35+AA35+AC35</f>
        <v>0</v>
      </c>
      <c r="AE35" s="183" cm="1">
        <f t="array" ref="AE35">500*11</f>
        <v>5500</v>
      </c>
      <c r="AF35" s="51" cm="1">
        <f t="array" ref="AF35">AE35-AD35</f>
        <v>5500</v>
      </c>
    </row>
    <row r="36" ht="13.55" customHeight="1">
      <c r="A36" s="255"/>
      <c r="B36" s="9"/>
      <c r="C36" s="9"/>
      <c r="D36" s="9"/>
      <c r="E36" s="9"/>
      <c r="F36" t="s" s="8">
        <v>10</v>
      </c>
      <c r="G36" s="34"/>
      <c r="H36" t="s" s="8">
        <v>10</v>
      </c>
      <c r="I36" s="34"/>
      <c r="J36" t="s" s="8">
        <v>10</v>
      </c>
      <c r="K36" s="34"/>
      <c r="L36" t="s" s="8">
        <v>10</v>
      </c>
      <c r="M36" s="34"/>
      <c r="N36" t="s" s="8">
        <v>10</v>
      </c>
      <c r="O36" s="34"/>
      <c r="P36" t="s" s="8">
        <v>10</v>
      </c>
      <c r="Q36" s="34"/>
      <c r="R36" t="s" s="8">
        <v>10</v>
      </c>
      <c r="S36" s="34"/>
      <c r="T36" t="s" s="8">
        <v>10</v>
      </c>
      <c r="U36" s="34"/>
      <c r="V36" t="s" s="8">
        <v>10</v>
      </c>
      <c r="W36" s="34"/>
      <c r="X36" t="s" s="243">
        <v>10</v>
      </c>
      <c r="Y36" s="34"/>
      <c r="Z36" t="s" s="243">
        <v>10</v>
      </c>
      <c r="AA36" s="34"/>
      <c r="AB36" t="s" s="243">
        <v>10</v>
      </c>
      <c r="AC36" s="253"/>
      <c r="AD36" s="180"/>
      <c r="AE36" s="177"/>
      <c r="AF36" s="7"/>
    </row>
    <row r="37" ht="15.75" customHeight="1">
      <c r="A37" s="253"/>
      <c r="B37" s="9"/>
      <c r="C37" s="9"/>
      <c r="D37" s="9"/>
      <c r="E37" s="9"/>
      <c r="F37" s="9"/>
      <c r="G37" s="27"/>
      <c r="H37" s="9"/>
      <c r="I37" s="34"/>
      <c r="J37" s="9"/>
      <c r="K37" s="27"/>
      <c r="L37" s="9"/>
      <c r="M37" s="34"/>
      <c r="N37" s="9"/>
      <c r="O37" s="34"/>
      <c r="P37" s="9"/>
      <c r="Q37" s="34"/>
      <c r="R37" s="9"/>
      <c r="S37" s="9"/>
      <c r="T37" s="9"/>
      <c r="U37" s="9"/>
      <c r="V37" s="9"/>
      <c r="W37" s="9"/>
      <c r="X37" s="253"/>
      <c r="Y37" s="253"/>
      <c r="Z37" s="253"/>
      <c r="AA37" s="253"/>
      <c r="AB37" s="253"/>
      <c r="AC37" s="253"/>
      <c r="AD37" s="180"/>
      <c r="AE37" s="177"/>
      <c r="AF37" s="7"/>
    </row>
    <row r="38" ht="15.75" customHeight="1">
      <c r="A38" s="254">
        <v>6</v>
      </c>
      <c r="B38" t="s" s="130">
        <v>531</v>
      </c>
      <c r="C38" s="9"/>
      <c r="D38" s="9"/>
      <c r="E38" t="s" s="8">
        <v>5</v>
      </c>
      <c r="F38" t="s" s="8">
        <v>6</v>
      </c>
      <c r="G38" s="16">
        <v>1121</v>
      </c>
      <c r="H38" t="s" s="8">
        <v>6</v>
      </c>
      <c r="I38" s="16">
        <v>3216</v>
      </c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243">
        <v>6</v>
      </c>
      <c r="Y38" s="18"/>
      <c r="Z38" t="s" s="243">
        <v>6</v>
      </c>
      <c r="AA38" s="18"/>
      <c r="AB38" t="s" s="243">
        <v>6</v>
      </c>
      <c r="AC38" s="18"/>
      <c r="AD38" s="180"/>
      <c r="AE38" s="177"/>
      <c r="AF38" s="7"/>
    </row>
    <row r="39" ht="13.55" customHeight="1">
      <c r="A39" s="255"/>
      <c r="B39" s="27"/>
      <c r="C39" s="27"/>
      <c r="D39" s="27"/>
      <c r="E39" s="9"/>
      <c r="F39" t="s" s="8">
        <v>8</v>
      </c>
      <c r="G39" s="26">
        <v>1200</v>
      </c>
      <c r="H39" t="s" s="8">
        <v>8</v>
      </c>
      <c r="I39" s="26">
        <v>1200</v>
      </c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243">
        <v>8</v>
      </c>
      <c r="Y39" s="27"/>
      <c r="Z39" t="s" s="243">
        <v>8</v>
      </c>
      <c r="AA39" s="27"/>
      <c r="AB39" t="s" s="243">
        <v>8</v>
      </c>
      <c r="AC39" s="27"/>
      <c r="AD39" s="182" cm="1">
        <f t="array" ref="AD39">G39+I39+K39+M39+O39+Q39+S39+U39+W39+Y39+AA39+AC39</f>
        <v>2400</v>
      </c>
      <c r="AE39" s="183" cm="1">
        <f t="array" ref="AE39">1100*12</f>
        <v>13200</v>
      </c>
      <c r="AF39" s="51" cm="1">
        <f t="array" ref="AF39">AE39-AD39</f>
        <v>10800</v>
      </c>
    </row>
    <row r="40" ht="13.55" customHeight="1">
      <c r="A40" s="255"/>
      <c r="B40" s="27"/>
      <c r="C40" t="s" s="8">
        <v>9</v>
      </c>
      <c r="D40" s="26">
        <v>1000</v>
      </c>
      <c r="E40" s="34"/>
      <c r="F40" t="s" s="8">
        <v>10</v>
      </c>
      <c r="G40" t="s" s="33">
        <v>93</v>
      </c>
      <c r="H40" t="s" s="8">
        <v>10</v>
      </c>
      <c r="I40" t="s" s="33">
        <v>55</v>
      </c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243">
        <v>10</v>
      </c>
      <c r="Y40" s="34"/>
      <c r="Z40" t="s" s="243">
        <v>10</v>
      </c>
      <c r="AA40" s="34"/>
      <c r="AB40" t="s" s="243">
        <v>10</v>
      </c>
      <c r="AC40" s="34"/>
      <c r="AD40" s="180"/>
      <c r="AE40" s="177"/>
      <c r="AF40" s="7"/>
    </row>
    <row r="41" ht="13.75" customHeight="1">
      <c r="A41" s="255"/>
      <c r="B41" t="s" s="8">
        <v>532</v>
      </c>
      <c r="C41" s="9"/>
      <c r="D41" s="9"/>
      <c r="E41" t="s" s="8">
        <v>14</v>
      </c>
      <c r="F41" t="s" s="8">
        <v>6</v>
      </c>
      <c r="G41" s="16">
        <v>2046</v>
      </c>
      <c r="H41" t="s" s="8">
        <v>6</v>
      </c>
      <c r="I41" s="16">
        <v>2190</v>
      </c>
      <c r="J41" t="s" s="8">
        <v>6</v>
      </c>
      <c r="K41" s="40"/>
      <c r="L41" t="s" s="8">
        <v>6</v>
      </c>
      <c r="M41" s="18"/>
      <c r="N41" t="s" s="8">
        <v>6</v>
      </c>
      <c r="O41" s="18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243">
        <v>6</v>
      </c>
      <c r="Y41" s="18"/>
      <c r="Z41" t="s" s="243">
        <v>6</v>
      </c>
      <c r="AA41" s="18"/>
      <c r="AB41" t="s" s="243">
        <v>6</v>
      </c>
      <c r="AC41" s="18"/>
      <c r="AD41" s="180"/>
      <c r="AE41" s="177"/>
      <c r="AF41" s="7"/>
    </row>
    <row r="42" ht="13.55" customHeight="1">
      <c r="A42" s="255"/>
      <c r="B42" t="s" s="8">
        <v>533</v>
      </c>
      <c r="C42" s="9"/>
      <c r="D42" s="9"/>
      <c r="E42" s="9"/>
      <c r="F42" t="s" s="8">
        <v>8</v>
      </c>
      <c r="G42" s="26">
        <v>600</v>
      </c>
      <c r="H42" t="s" s="8">
        <v>8</v>
      </c>
      <c r="I42" s="26">
        <v>600</v>
      </c>
      <c r="J42" t="s" s="8">
        <v>8</v>
      </c>
      <c r="K42" s="41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243">
        <v>8</v>
      </c>
      <c r="Y42" s="27"/>
      <c r="Z42" t="s" s="243">
        <v>8</v>
      </c>
      <c r="AA42" s="27"/>
      <c r="AB42" t="s" s="243">
        <v>8</v>
      </c>
      <c r="AC42" s="27"/>
      <c r="AD42" s="180" cm="1">
        <f t="array" ref="AD42">G42+I42+K42+M42+O42+Q42+S42+U42+W42+Y42+AA42+AC42</f>
      </c>
      <c r="AE42" s="183" cm="1">
        <f t="array" ref="AE42">500*11</f>
        <v>5500</v>
      </c>
      <c r="AF42" s="7" cm="1">
        <f t="array" ref="AF42">AE42-AD42</f>
      </c>
    </row>
    <row r="43" ht="13.55" customHeight="1">
      <c r="A43" s="255"/>
      <c r="B43" s="9"/>
      <c r="C43" s="9"/>
      <c r="D43" s="9"/>
      <c r="E43" s="9"/>
      <c r="F43" t="s" s="8">
        <v>10</v>
      </c>
      <c r="G43" t="s" s="33">
        <v>93</v>
      </c>
      <c r="H43" t="s" s="8">
        <v>10</v>
      </c>
      <c r="I43" t="s" s="33">
        <v>55</v>
      </c>
      <c r="J43" t="s" s="8">
        <v>10</v>
      </c>
      <c r="K43" s="45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243">
        <v>10</v>
      </c>
      <c r="Y43" s="34"/>
      <c r="Z43" t="s" s="243">
        <v>10</v>
      </c>
      <c r="AA43" s="34"/>
      <c r="AB43" t="s" s="243">
        <v>10</v>
      </c>
      <c r="AC43" s="34"/>
      <c r="AD43" s="180"/>
      <c r="AE43" s="177"/>
      <c r="AF43" s="7"/>
    </row>
    <row r="44" ht="13.55" customHeight="1">
      <c r="A44" s="253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253"/>
      <c r="Y44" s="253"/>
      <c r="Z44" s="253"/>
      <c r="AA44" s="253"/>
      <c r="AB44" s="253"/>
      <c r="AC44" s="253"/>
      <c r="AD44" s="180"/>
      <c r="AE44" s="177"/>
      <c r="AF44" s="7"/>
    </row>
    <row r="45" ht="13.75" customHeight="1">
      <c r="A45" s="254">
        <v>7</v>
      </c>
      <c r="B45" t="s" s="130">
        <v>534</v>
      </c>
      <c r="C45" s="9"/>
      <c r="D45" s="9"/>
      <c r="E45" t="s" s="8">
        <v>5</v>
      </c>
      <c r="F45" t="s" s="8">
        <v>6</v>
      </c>
      <c r="G45" s="16">
        <v>1091</v>
      </c>
      <c r="H45" t="s" s="8">
        <v>6</v>
      </c>
      <c r="I45" s="16">
        <v>3243</v>
      </c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243">
        <v>6</v>
      </c>
      <c r="Y45" s="18"/>
      <c r="Z45" t="s" s="243">
        <v>6</v>
      </c>
      <c r="AA45" s="18"/>
      <c r="AB45" t="s" s="243">
        <v>6</v>
      </c>
      <c r="AC45" s="18"/>
      <c r="AD45" s="180"/>
      <c r="AE45" s="177"/>
      <c r="AF45" s="7"/>
    </row>
    <row r="46" ht="13.55" customHeight="1">
      <c r="A46" s="255"/>
      <c r="B46" s="27"/>
      <c r="C46" s="27"/>
      <c r="D46" s="27"/>
      <c r="E46" s="9"/>
      <c r="F46" t="s" s="8">
        <v>8</v>
      </c>
      <c r="G46" s="26">
        <v>1200</v>
      </c>
      <c r="H46" t="s" s="8">
        <v>8</v>
      </c>
      <c r="I46" s="26">
        <v>1200</v>
      </c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243">
        <v>8</v>
      </c>
      <c r="Y46" s="27"/>
      <c r="Z46" t="s" s="243">
        <v>8</v>
      </c>
      <c r="AA46" s="27"/>
      <c r="AB46" t="s" s="243">
        <v>8</v>
      </c>
      <c r="AC46" s="27"/>
      <c r="AD46" s="182" cm="1">
        <f t="array" ref="AD46">G46+I46+K46+M46+O46+Q46+S46+U46+W46+Y46+AA46+AC46</f>
        <v>2400</v>
      </c>
      <c r="AE46" s="183" cm="1">
        <f t="array" ref="AE46">1100*12</f>
        <v>13200</v>
      </c>
      <c r="AF46" s="51" cm="1">
        <f t="array" ref="AF46">AE46-AD46</f>
        <v>10800</v>
      </c>
    </row>
    <row r="47" ht="13.55" customHeight="1">
      <c r="A47" s="255"/>
      <c r="B47" s="27"/>
      <c r="C47" t="s" s="8">
        <v>9</v>
      </c>
      <c r="D47" s="26">
        <v>1000</v>
      </c>
      <c r="E47" s="9"/>
      <c r="F47" t="s" s="8">
        <v>10</v>
      </c>
      <c r="G47" t="s" s="33">
        <v>23</v>
      </c>
      <c r="H47" t="s" s="8">
        <v>10</v>
      </c>
      <c r="I47" t="s" s="33">
        <v>64</v>
      </c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243">
        <v>10</v>
      </c>
      <c r="Y47" s="34"/>
      <c r="Z47" t="s" s="243">
        <v>10</v>
      </c>
      <c r="AA47" s="34"/>
      <c r="AB47" t="s" s="243">
        <v>10</v>
      </c>
      <c r="AC47" s="34"/>
      <c r="AD47" s="180"/>
      <c r="AE47" s="177"/>
      <c r="AF47" s="7"/>
    </row>
    <row r="48" ht="13.75" customHeight="1">
      <c r="A48" s="255"/>
      <c r="B48" t="s" s="8">
        <v>535</v>
      </c>
      <c r="C48" s="9"/>
      <c r="D48" s="9"/>
      <c r="E48" t="s" s="8">
        <v>14</v>
      </c>
      <c r="F48" t="s" s="8">
        <v>6</v>
      </c>
      <c r="G48" s="16">
        <v>2028</v>
      </c>
      <c r="H48" t="s" s="8">
        <v>6</v>
      </c>
      <c r="I48" s="16">
        <v>2209</v>
      </c>
      <c r="J48" t="s" s="8">
        <v>6</v>
      </c>
      <c r="K48" s="40"/>
      <c r="L48" t="s" s="8">
        <v>6</v>
      </c>
      <c r="M48" s="18"/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243">
        <v>6</v>
      </c>
      <c r="Y48" s="18"/>
      <c r="Z48" t="s" s="243">
        <v>6</v>
      </c>
      <c r="AA48" s="18"/>
      <c r="AB48" t="s" s="243">
        <v>6</v>
      </c>
      <c r="AC48" s="18"/>
      <c r="AD48" s="180"/>
      <c r="AE48" s="177"/>
      <c r="AF48" s="7"/>
    </row>
    <row r="49" ht="13.55" customHeight="1">
      <c r="A49" s="255"/>
      <c r="B49" t="s" s="8">
        <v>536</v>
      </c>
      <c r="C49" s="9"/>
      <c r="D49" s="9"/>
      <c r="E49" s="9"/>
      <c r="F49" t="s" s="8">
        <v>8</v>
      </c>
      <c r="G49" s="26">
        <v>600</v>
      </c>
      <c r="H49" t="s" s="8">
        <v>8</v>
      </c>
      <c r="I49" s="26">
        <v>600</v>
      </c>
      <c r="J49" t="s" s="8">
        <v>8</v>
      </c>
      <c r="K49" s="41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243">
        <v>8</v>
      </c>
      <c r="Y49" s="27"/>
      <c r="Z49" t="s" s="243">
        <v>8</v>
      </c>
      <c r="AA49" s="27"/>
      <c r="AB49" t="s" s="243">
        <v>8</v>
      </c>
      <c r="AC49" s="27"/>
      <c r="AD49" s="180" cm="1">
        <f t="array" ref="AD49">G49+I49+K49+M49+O49+Q49+S49+U49+W49+Y49+AA49+AC49</f>
      </c>
      <c r="AE49" s="183" cm="1">
        <f t="array" ref="AE49">500*11</f>
        <v>5500</v>
      </c>
      <c r="AF49" s="7" cm="1">
        <f t="array" ref="AF49">AE49-AD49</f>
      </c>
    </row>
    <row r="50" ht="13.55" customHeight="1">
      <c r="A50" s="255"/>
      <c r="B50" s="9"/>
      <c r="C50" s="9"/>
      <c r="D50" s="9"/>
      <c r="E50" s="9"/>
      <c r="F50" t="s" s="8">
        <v>10</v>
      </c>
      <c r="G50" t="s" s="33">
        <v>23</v>
      </c>
      <c r="H50" t="s" s="8">
        <v>10</v>
      </c>
      <c r="I50" t="s" s="33">
        <v>64</v>
      </c>
      <c r="J50" t="s" s="8">
        <v>10</v>
      </c>
      <c r="K50" s="45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243">
        <v>10</v>
      </c>
      <c r="Y50" s="34"/>
      <c r="Z50" t="s" s="243">
        <v>10</v>
      </c>
      <c r="AA50" s="34"/>
      <c r="AB50" t="s" s="243">
        <v>10</v>
      </c>
      <c r="AC50" s="34"/>
      <c r="AD50" s="180"/>
      <c r="AE50" s="177"/>
      <c r="AF50" s="7"/>
    </row>
    <row r="51" ht="15.75" customHeight="1">
      <c r="A51" s="253"/>
      <c r="B51" s="9"/>
      <c r="C51" s="9"/>
      <c r="D51" s="9"/>
      <c r="E51" s="9"/>
      <c r="F51" s="9"/>
      <c r="G51" s="131"/>
      <c r="H51" s="9"/>
      <c r="I51" s="131"/>
      <c r="J51" s="9"/>
      <c r="K51" s="131"/>
      <c r="L51" s="9"/>
      <c r="M51" s="131"/>
      <c r="N51" s="9"/>
      <c r="O51" s="131"/>
      <c r="P51" s="9"/>
      <c r="Q51" s="131"/>
      <c r="R51" s="9"/>
      <c r="S51" s="9"/>
      <c r="T51" s="9"/>
      <c r="U51" s="9"/>
      <c r="V51" s="9"/>
      <c r="W51" s="9"/>
      <c r="X51" s="253"/>
      <c r="Y51" s="253"/>
      <c r="Z51" s="253"/>
      <c r="AA51" s="250"/>
      <c r="AB51" s="278"/>
      <c r="AC51" s="253"/>
      <c r="AD51" s="180"/>
      <c r="AE51" s="177"/>
      <c r="AF51" s="7"/>
    </row>
    <row r="52" ht="15.75" customHeight="1">
      <c r="A52" s="254">
        <v>8</v>
      </c>
      <c r="B52" t="s" s="130">
        <v>537</v>
      </c>
      <c r="C52" s="9"/>
      <c r="D52" s="9"/>
      <c r="E52" t="s" s="8">
        <v>5</v>
      </c>
      <c r="F52" t="s" s="8">
        <v>6</v>
      </c>
      <c r="G52" s="16">
        <v>1082</v>
      </c>
      <c r="H52" t="s" s="8">
        <v>6</v>
      </c>
      <c r="I52" s="131"/>
      <c r="J52" t="s" s="8">
        <v>6</v>
      </c>
      <c r="K52" s="131"/>
      <c r="L52" t="s" s="8">
        <v>6</v>
      </c>
      <c r="M52" s="131"/>
      <c r="N52" t="s" s="8">
        <v>6</v>
      </c>
      <c r="O52" s="131"/>
      <c r="P52" t="s" s="8">
        <v>6</v>
      </c>
      <c r="Q52" s="131"/>
      <c r="R52" t="s" s="8">
        <v>6</v>
      </c>
      <c r="S52" s="131"/>
      <c r="T52" t="s" s="8">
        <v>6</v>
      </c>
      <c r="U52" s="131"/>
      <c r="V52" t="s" s="8">
        <v>6</v>
      </c>
      <c r="W52" s="131"/>
      <c r="X52" t="s" s="243">
        <v>6</v>
      </c>
      <c r="Y52" s="131"/>
      <c r="Z52" t="s" s="243">
        <v>6</v>
      </c>
      <c r="AA52" s="131"/>
      <c r="AB52" t="s" s="243">
        <v>6</v>
      </c>
      <c r="AC52" s="131"/>
      <c r="AD52" s="180"/>
      <c r="AE52" s="177"/>
      <c r="AF52" s="7"/>
    </row>
    <row r="53" ht="13.55" customHeight="1">
      <c r="A53" s="255"/>
      <c r="B53" s="27"/>
      <c r="C53" s="27"/>
      <c r="D53" s="27"/>
      <c r="E53" s="9"/>
      <c r="F53" t="s" s="8">
        <v>8</v>
      </c>
      <c r="G53" s="26">
        <v>1200</v>
      </c>
      <c r="H53" t="s" s="8">
        <v>8</v>
      </c>
      <c r="I53" s="27"/>
      <c r="J53" t="s" s="8">
        <v>8</v>
      </c>
      <c r="K53" s="27"/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243">
        <v>8</v>
      </c>
      <c r="Y53" s="27"/>
      <c r="Z53" t="s" s="243">
        <v>8</v>
      </c>
      <c r="AA53" s="27"/>
      <c r="AB53" t="s" s="243">
        <v>8</v>
      </c>
      <c r="AC53" s="27"/>
      <c r="AD53" s="182" cm="1">
        <f t="array" ref="AD53">G53+I53+K53+M53+O53+Q53+S53+U53+W53+Y53+AA53+AC53</f>
        <v>1200</v>
      </c>
      <c r="AE53" s="183" cm="1">
        <f t="array" ref="AE53">1100*12</f>
        <v>13200</v>
      </c>
      <c r="AF53" s="51" cm="1">
        <f t="array" ref="AF53">AE53-AD53</f>
        <v>12000</v>
      </c>
    </row>
    <row r="54" ht="13.55" customHeight="1">
      <c r="A54" s="255"/>
      <c r="B54" s="27"/>
      <c r="C54" t="s" s="8">
        <v>9</v>
      </c>
      <c r="D54" s="26">
        <v>1000</v>
      </c>
      <c r="E54" s="9"/>
      <c r="F54" t="s" s="8">
        <v>10</v>
      </c>
      <c r="G54" t="s" s="33">
        <v>17</v>
      </c>
      <c r="H54" t="s" s="8">
        <v>10</v>
      </c>
      <c r="I54" s="34"/>
      <c r="J54" t="s" s="8">
        <v>10</v>
      </c>
      <c r="K54" s="34"/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243">
        <v>10</v>
      </c>
      <c r="Y54" s="34"/>
      <c r="Z54" t="s" s="243">
        <v>10</v>
      </c>
      <c r="AA54" s="34"/>
      <c r="AB54" t="s" s="243">
        <v>10</v>
      </c>
      <c r="AC54" s="34"/>
      <c r="AD54" s="180"/>
      <c r="AE54" s="177"/>
      <c r="AF54" s="7"/>
    </row>
    <row r="55" ht="13.55" customHeight="1">
      <c r="A55" s="255"/>
      <c r="B55" t="s" s="8">
        <v>538</v>
      </c>
      <c r="C55" s="9"/>
      <c r="D55" s="9"/>
      <c r="E55" t="s" s="8">
        <v>14</v>
      </c>
      <c r="F55" t="s" s="8">
        <v>6</v>
      </c>
      <c r="G55" s="131"/>
      <c r="H55" t="s" s="8">
        <v>6</v>
      </c>
      <c r="I55" s="131"/>
      <c r="J55" t="s" s="8">
        <v>6</v>
      </c>
      <c r="K55" s="131"/>
      <c r="L55" t="s" s="8">
        <v>6</v>
      </c>
      <c r="M55" s="131"/>
      <c r="N55" t="s" s="8">
        <v>6</v>
      </c>
      <c r="O55" s="131"/>
      <c r="P55" t="s" s="8">
        <v>6</v>
      </c>
      <c r="Q55" s="131"/>
      <c r="R55" t="s" s="8">
        <v>6</v>
      </c>
      <c r="S55" s="9"/>
      <c r="T55" t="s" s="8">
        <v>6</v>
      </c>
      <c r="U55" s="9"/>
      <c r="V55" t="s" s="8">
        <v>6</v>
      </c>
      <c r="W55" s="9"/>
      <c r="X55" t="s" s="243">
        <v>6</v>
      </c>
      <c r="Y55" s="253"/>
      <c r="Z55" t="s" s="243">
        <v>6</v>
      </c>
      <c r="AA55" s="253"/>
      <c r="AB55" t="s" s="243">
        <v>6</v>
      </c>
      <c r="AC55" s="253"/>
      <c r="AD55" s="180"/>
      <c r="AE55" s="177"/>
      <c r="AF55" s="7"/>
    </row>
    <row r="56" ht="13.55" customHeight="1">
      <c r="A56" s="255"/>
      <c r="B56" t="s" s="8">
        <v>539</v>
      </c>
      <c r="C56" s="9"/>
      <c r="D56" s="9"/>
      <c r="E56" s="9"/>
      <c r="F56" t="s" s="8">
        <v>8</v>
      </c>
      <c r="G56" s="27"/>
      <c r="H56" t="s" s="8">
        <v>8</v>
      </c>
      <c r="I56" s="27"/>
      <c r="J56" t="s" s="8">
        <v>8</v>
      </c>
      <c r="K56" s="27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9"/>
      <c r="T56" t="s" s="8">
        <v>8</v>
      </c>
      <c r="U56" s="9"/>
      <c r="V56" t="s" s="8">
        <v>8</v>
      </c>
      <c r="W56" s="9"/>
      <c r="X56" t="s" s="243">
        <v>8</v>
      </c>
      <c r="Y56" s="253"/>
      <c r="Z56" t="s" s="243">
        <v>8</v>
      </c>
      <c r="AA56" s="253"/>
      <c r="AB56" t="s" s="243">
        <v>8</v>
      </c>
      <c r="AC56" s="253"/>
      <c r="AD56" s="182" cm="1">
        <f t="array" ref="AD56">G56+I56+K56+M56+O56+Q56+S56+U56+W56+Y56+AA56+AC56</f>
        <v>0</v>
      </c>
      <c r="AE56" s="177"/>
      <c r="AF56" s="7"/>
    </row>
    <row r="57" ht="13.55" customHeight="1">
      <c r="A57" s="255"/>
      <c r="B57" s="9"/>
      <c r="C57" s="9"/>
      <c r="D57" s="9"/>
      <c r="E57" s="9"/>
      <c r="F57" t="s" s="8">
        <v>10</v>
      </c>
      <c r="G57" s="34"/>
      <c r="H57" t="s" s="8">
        <v>10</v>
      </c>
      <c r="I57" s="34"/>
      <c r="J57" t="s" s="8">
        <v>10</v>
      </c>
      <c r="K57" s="34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9"/>
      <c r="T57" t="s" s="8">
        <v>10</v>
      </c>
      <c r="U57" s="9"/>
      <c r="V57" t="s" s="8">
        <v>10</v>
      </c>
      <c r="W57" s="9"/>
      <c r="X57" t="s" s="243">
        <v>10</v>
      </c>
      <c r="Y57" s="253"/>
      <c r="Z57" t="s" s="243">
        <v>10</v>
      </c>
      <c r="AA57" s="253"/>
      <c r="AB57" t="s" s="243">
        <v>10</v>
      </c>
      <c r="AC57" s="253"/>
      <c r="AD57" s="180"/>
      <c r="AE57" s="177"/>
      <c r="AF57" s="7"/>
    </row>
    <row r="58" ht="15.75" customHeight="1">
      <c r="A58" s="253"/>
      <c r="B58" s="9"/>
      <c r="C58" s="9"/>
      <c r="D58" s="9"/>
      <c r="E58" s="9"/>
      <c r="F58" s="9"/>
      <c r="G58" s="131"/>
      <c r="H58" s="9"/>
      <c r="I58" s="131"/>
      <c r="J58" s="9"/>
      <c r="K58" s="131"/>
      <c r="L58" s="9"/>
      <c r="M58" s="131"/>
      <c r="N58" s="9"/>
      <c r="O58" s="131"/>
      <c r="P58" s="9"/>
      <c r="Q58" s="131"/>
      <c r="R58" s="9"/>
      <c r="S58" s="9"/>
      <c r="T58" s="9"/>
      <c r="U58" s="9"/>
      <c r="V58" s="9"/>
      <c r="W58" s="9"/>
      <c r="X58" s="253"/>
      <c r="Y58" s="253"/>
      <c r="Z58" s="253"/>
      <c r="AA58" s="250"/>
      <c r="AB58" s="278"/>
      <c r="AC58" s="253"/>
      <c r="AD58" s="180"/>
      <c r="AE58" s="177"/>
      <c r="AF58" s="7"/>
    </row>
    <row r="59" ht="15.75" customHeight="1">
      <c r="A59" s="254">
        <v>9</v>
      </c>
      <c r="B59" t="s" s="130">
        <v>540</v>
      </c>
      <c r="C59" s="9"/>
      <c r="D59" s="9"/>
      <c r="E59" t="s" s="8">
        <v>5</v>
      </c>
      <c r="F59" t="s" s="8">
        <v>6</v>
      </c>
      <c r="G59" s="16">
        <v>1103</v>
      </c>
      <c r="H59" t="s" s="8">
        <v>6</v>
      </c>
      <c r="I59" s="16">
        <v>1103</v>
      </c>
      <c r="J59" t="s" s="8">
        <v>6</v>
      </c>
      <c r="K59" s="16">
        <v>1103</v>
      </c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243">
        <v>6</v>
      </c>
      <c r="Y59" s="18"/>
      <c r="Z59" t="s" s="243">
        <v>6</v>
      </c>
      <c r="AA59" s="18"/>
      <c r="AB59" t="s" s="243">
        <v>6</v>
      </c>
      <c r="AC59" s="18"/>
      <c r="AD59" s="180"/>
      <c r="AE59" s="177"/>
      <c r="AF59" s="7"/>
    </row>
    <row r="60" ht="13.55" customHeight="1">
      <c r="A60" s="255"/>
      <c r="B60" s="56"/>
      <c r="C60" s="27"/>
      <c r="D60" s="27"/>
      <c r="E60" s="9"/>
      <c r="F60" t="s" s="8">
        <v>8</v>
      </c>
      <c r="G60" s="26">
        <v>1200</v>
      </c>
      <c r="H60" t="s" s="8">
        <v>8</v>
      </c>
      <c r="I60" s="26">
        <v>1200</v>
      </c>
      <c r="J60" t="s" s="8">
        <v>8</v>
      </c>
      <c r="K60" s="26">
        <v>1200</v>
      </c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243">
        <v>8</v>
      </c>
      <c r="Y60" s="27"/>
      <c r="Z60" t="s" s="243">
        <v>8</v>
      </c>
      <c r="AA60" s="27"/>
      <c r="AB60" t="s" s="243">
        <v>8</v>
      </c>
      <c r="AC60" s="27"/>
      <c r="AD60" s="182" cm="1">
        <f t="array" ref="AD60">G60+I60+K60+M60+O60+Q60+S60+U60+W60+Y60+AA60+AC60</f>
        <v>3600</v>
      </c>
      <c r="AE60" s="183" cm="1">
        <f t="array" ref="AE60">1100*12</f>
        <v>13200</v>
      </c>
      <c r="AF60" s="51" cm="1">
        <f t="array" ref="AF60">AE60-AD60</f>
        <v>9600</v>
      </c>
    </row>
    <row r="61" ht="13.55" customHeight="1">
      <c r="A61" s="255"/>
      <c r="B61" s="27"/>
      <c r="C61" t="s" s="8">
        <v>9</v>
      </c>
      <c r="D61" s="26">
        <v>1000</v>
      </c>
      <c r="E61" s="9"/>
      <c r="F61" t="s" s="8">
        <v>10</v>
      </c>
      <c r="G61" t="s" s="33">
        <v>23</v>
      </c>
      <c r="H61" t="s" s="8">
        <v>10</v>
      </c>
      <c r="I61" t="s" s="33">
        <v>23</v>
      </c>
      <c r="J61" t="s" s="8">
        <v>10</v>
      </c>
      <c r="K61" t="s" s="33">
        <v>23</v>
      </c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243">
        <v>10</v>
      </c>
      <c r="Y61" s="34"/>
      <c r="Z61" t="s" s="243">
        <v>10</v>
      </c>
      <c r="AA61" s="34"/>
      <c r="AB61" t="s" s="243">
        <v>10</v>
      </c>
      <c r="AC61" s="34"/>
      <c r="AD61" s="180"/>
      <c r="AE61" s="177"/>
      <c r="AF61" s="7"/>
    </row>
    <row r="62" ht="13.75" customHeight="1">
      <c r="A62" s="255"/>
      <c r="B62" t="s" s="8">
        <v>296</v>
      </c>
      <c r="C62" s="9"/>
      <c r="D62" s="9"/>
      <c r="E62" t="s" s="8">
        <v>14</v>
      </c>
      <c r="F62" t="s" s="8">
        <v>6</v>
      </c>
      <c r="G62" s="18"/>
      <c r="H62" t="s" s="8">
        <v>6</v>
      </c>
      <c r="I62" s="18"/>
      <c r="J62" t="s" s="8">
        <v>6</v>
      </c>
      <c r="K62" s="40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243">
        <v>6</v>
      </c>
      <c r="Y62" s="18"/>
      <c r="Z62" t="s" s="243">
        <v>6</v>
      </c>
      <c r="AA62" s="18"/>
      <c r="AB62" t="s" s="243">
        <v>6</v>
      </c>
      <c r="AC62" s="18"/>
      <c r="AD62" s="180"/>
      <c r="AE62" s="177"/>
      <c r="AF62" s="7"/>
    </row>
    <row r="63" ht="13.55" customHeight="1">
      <c r="A63" s="255"/>
      <c r="B63" t="s" s="8">
        <v>541</v>
      </c>
      <c r="C63" s="9"/>
      <c r="D63" s="9"/>
      <c r="E63" s="9"/>
      <c r="F63" t="s" s="8">
        <v>8</v>
      </c>
      <c r="G63" s="27"/>
      <c r="H63" t="s" s="8">
        <v>8</v>
      </c>
      <c r="I63" s="27"/>
      <c r="J63" t="s" s="8">
        <v>8</v>
      </c>
      <c r="K63" s="41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243">
        <v>8</v>
      </c>
      <c r="Y63" s="27"/>
      <c r="Z63" t="s" s="243">
        <v>8</v>
      </c>
      <c r="AA63" s="27"/>
      <c r="AB63" t="s" s="243">
        <v>8</v>
      </c>
      <c r="AC63" s="27"/>
      <c r="AD63" s="180" cm="1">
        <f t="array" ref="AD63">G63+I63+K63+M63+O63+Q63+S63+U63+W63+Y63+AA63+AC63</f>
      </c>
      <c r="AE63" s="183" cm="1">
        <f t="array" ref="AE63">500*11</f>
        <v>5500</v>
      </c>
      <c r="AF63" s="7" cm="1">
        <f t="array" ref="AF63">AE63-AD63</f>
      </c>
    </row>
    <row r="64" ht="13.55" customHeight="1">
      <c r="A64" s="255"/>
      <c r="B64" s="9"/>
      <c r="C64" s="9"/>
      <c r="D64" s="9"/>
      <c r="E64" s="9"/>
      <c r="F64" t="s" s="8">
        <v>10</v>
      </c>
      <c r="G64" s="34"/>
      <c r="H64" t="s" s="8">
        <v>10</v>
      </c>
      <c r="I64" s="34"/>
      <c r="J64" t="s" s="8">
        <v>10</v>
      </c>
      <c r="K64" s="45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243">
        <v>10</v>
      </c>
      <c r="Y64" s="34"/>
      <c r="Z64" t="s" s="243">
        <v>10</v>
      </c>
      <c r="AA64" s="34"/>
      <c r="AB64" t="s" s="243">
        <v>10</v>
      </c>
      <c r="AC64" s="34"/>
      <c r="AD64" s="180"/>
      <c r="AE64" s="177"/>
      <c r="AF64" s="7"/>
    </row>
    <row r="65" ht="15.75" customHeight="1">
      <c r="A65" s="253"/>
      <c r="B65" s="9"/>
      <c r="C65" s="9"/>
      <c r="D65" s="9"/>
      <c r="E65" s="9"/>
      <c r="F65" s="9"/>
      <c r="G65" s="131"/>
      <c r="H65" s="9"/>
      <c r="I65" s="131"/>
      <c r="J65" s="9"/>
      <c r="K65" s="131"/>
      <c r="L65" s="9"/>
      <c r="M65" s="131"/>
      <c r="N65" s="9"/>
      <c r="O65" s="131"/>
      <c r="P65" s="9"/>
      <c r="Q65" s="131"/>
      <c r="R65" s="9"/>
      <c r="S65" s="9"/>
      <c r="T65" s="9"/>
      <c r="U65" s="9"/>
      <c r="V65" s="9"/>
      <c r="W65" s="9"/>
      <c r="X65" s="253"/>
      <c r="Y65" s="253"/>
      <c r="Z65" s="253"/>
      <c r="AA65" s="250"/>
      <c r="AB65" s="278"/>
      <c r="AC65" s="253"/>
      <c r="AD65" s="180"/>
      <c r="AE65" s="177"/>
      <c r="AF65" s="7"/>
    </row>
    <row r="66" ht="15.75" customHeight="1">
      <c r="A66" s="254">
        <v>10</v>
      </c>
      <c r="B66" t="s" s="130">
        <v>542</v>
      </c>
      <c r="C66" s="9"/>
      <c r="D66" s="9"/>
      <c r="E66" t="s" s="8">
        <v>5</v>
      </c>
      <c r="F66" t="s" s="8">
        <v>6</v>
      </c>
      <c r="G66" s="16">
        <v>1060</v>
      </c>
      <c r="H66" t="s" s="8">
        <v>6</v>
      </c>
      <c r="I66" s="16">
        <v>1060</v>
      </c>
      <c r="J66" t="s" s="8">
        <v>6</v>
      </c>
      <c r="K66" s="16">
        <v>1060</v>
      </c>
      <c r="L66" t="s" s="8">
        <v>6</v>
      </c>
      <c r="M66" s="131"/>
      <c r="N66" t="s" s="8">
        <v>6</v>
      </c>
      <c r="O66" s="131"/>
      <c r="P66" t="s" s="8">
        <v>6</v>
      </c>
      <c r="Q66" s="131"/>
      <c r="R66" t="s" s="8">
        <v>6</v>
      </c>
      <c r="S66" s="131"/>
      <c r="T66" t="s" s="8">
        <v>6</v>
      </c>
      <c r="U66" s="131"/>
      <c r="V66" t="s" s="8">
        <v>6</v>
      </c>
      <c r="W66" s="131"/>
      <c r="X66" t="s" s="243">
        <v>6</v>
      </c>
      <c r="Y66" s="131"/>
      <c r="Z66" t="s" s="243">
        <v>6</v>
      </c>
      <c r="AA66" s="131"/>
      <c r="AB66" t="s" s="243">
        <v>6</v>
      </c>
      <c r="AC66" s="131"/>
      <c r="AD66" s="180"/>
      <c r="AE66" s="177"/>
      <c r="AF66" s="7"/>
    </row>
    <row r="67" ht="13.55" customHeight="1">
      <c r="A67" s="255"/>
      <c r="B67" s="56"/>
      <c r="C67" s="27"/>
      <c r="D67" s="27"/>
      <c r="E67" s="9"/>
      <c r="F67" t="s" s="8">
        <v>8</v>
      </c>
      <c r="G67" s="26">
        <v>600</v>
      </c>
      <c r="H67" t="s" s="8">
        <v>8</v>
      </c>
      <c r="I67" s="26">
        <v>600</v>
      </c>
      <c r="J67" t="s" s="8">
        <v>8</v>
      </c>
      <c r="K67" s="26">
        <v>600</v>
      </c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243">
        <v>8</v>
      </c>
      <c r="Y67" s="27"/>
      <c r="Z67" t="s" s="243">
        <v>8</v>
      </c>
      <c r="AA67" s="27"/>
      <c r="AB67" t="s" s="243">
        <v>8</v>
      </c>
      <c r="AC67" s="27"/>
      <c r="AD67" s="182" cm="1">
        <f t="array" ref="AD67">G67+I67+K67+M67+O67+Q67+S67+U67+W67+Y67+AA67+AC67</f>
        <v>1800</v>
      </c>
      <c r="AE67" s="183" cm="1">
        <f t="array" ref="AE67">550*12</f>
        <v>6600</v>
      </c>
      <c r="AF67" s="51" cm="1">
        <f t="array" ref="AF67">AE67-AD67</f>
        <v>4800</v>
      </c>
    </row>
    <row r="68" ht="13.55" customHeight="1">
      <c r="A68" s="255"/>
      <c r="B68" t="s" s="144">
        <v>60</v>
      </c>
      <c r="C68" t="s" s="8">
        <v>9</v>
      </c>
      <c r="D68" s="26">
        <v>1000</v>
      </c>
      <c r="E68" s="9"/>
      <c r="F68" t="s" s="8">
        <v>10</v>
      </c>
      <c r="G68" t="s" s="33">
        <v>159</v>
      </c>
      <c r="H68" t="s" s="8">
        <v>10</v>
      </c>
      <c r="I68" t="s" s="33">
        <v>159</v>
      </c>
      <c r="J68" t="s" s="8">
        <v>10</v>
      </c>
      <c r="K68" t="s" s="33">
        <v>159</v>
      </c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243">
        <v>10</v>
      </c>
      <c r="Y68" s="34"/>
      <c r="Z68" t="s" s="243">
        <v>10</v>
      </c>
      <c r="AA68" s="34"/>
      <c r="AB68" t="s" s="243">
        <v>10</v>
      </c>
      <c r="AC68" s="34"/>
      <c r="AD68" s="180"/>
      <c r="AE68" s="177"/>
      <c r="AF68" s="7"/>
    </row>
    <row r="69" ht="13.75" customHeight="1">
      <c r="A69" s="255"/>
      <c r="B69" t="s" s="8">
        <v>543</v>
      </c>
      <c r="C69" s="9"/>
      <c r="D69" s="9"/>
      <c r="E69" t="s" s="8">
        <v>14</v>
      </c>
      <c r="F69" t="s" s="8">
        <v>6</v>
      </c>
      <c r="G69" s="16">
        <v>2008</v>
      </c>
      <c r="H69" t="s" s="8">
        <v>6</v>
      </c>
      <c r="I69" s="16">
        <v>2008</v>
      </c>
      <c r="J69" t="s" s="8">
        <v>6</v>
      </c>
      <c r="K69" s="40"/>
      <c r="L69" t="s" s="8">
        <v>6</v>
      </c>
      <c r="M69" s="131"/>
      <c r="N69" t="s" s="8">
        <v>6</v>
      </c>
      <c r="O69" s="131"/>
      <c r="P69" t="s" s="8">
        <v>6</v>
      </c>
      <c r="Q69" s="131"/>
      <c r="R69" t="s" s="8">
        <v>6</v>
      </c>
      <c r="S69" s="131"/>
      <c r="T69" t="s" s="8">
        <v>6</v>
      </c>
      <c r="U69" s="131"/>
      <c r="V69" t="s" s="8">
        <v>6</v>
      </c>
      <c r="W69" s="131"/>
      <c r="X69" t="s" s="243">
        <v>6</v>
      </c>
      <c r="Y69" s="131"/>
      <c r="Z69" t="s" s="243">
        <v>6</v>
      </c>
      <c r="AA69" s="131"/>
      <c r="AB69" t="s" s="243">
        <v>6</v>
      </c>
      <c r="AC69" s="131"/>
      <c r="AD69" s="180"/>
      <c r="AE69" s="177"/>
      <c r="AF69" s="7"/>
    </row>
    <row r="70" ht="13.55" customHeight="1">
      <c r="A70" s="255"/>
      <c r="B70" t="s" s="8">
        <v>544</v>
      </c>
      <c r="C70" s="9"/>
      <c r="D70" s="9"/>
      <c r="E70" s="9"/>
      <c r="F70" t="s" s="8">
        <v>8</v>
      </c>
      <c r="G70" s="26">
        <v>600</v>
      </c>
      <c r="H70" t="s" s="8">
        <v>8</v>
      </c>
      <c r="I70" s="26">
        <v>600</v>
      </c>
      <c r="J70" t="s" s="8">
        <v>8</v>
      </c>
      <c r="K70" s="41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243">
        <v>8</v>
      </c>
      <c r="Y70" s="27"/>
      <c r="Z70" t="s" s="243">
        <v>8</v>
      </c>
      <c r="AA70" s="27"/>
      <c r="AB70" t="s" s="243">
        <v>8</v>
      </c>
      <c r="AC70" s="27"/>
      <c r="AD70" s="180" cm="1">
        <f t="array" ref="AD70">G70+I70+K70+M70+O70+Q70+S70+U70+W70+Y70+AA70+AC70</f>
      </c>
      <c r="AE70" s="183" cm="1">
        <f t="array" ref="AE70">500*11</f>
        <v>5500</v>
      </c>
      <c r="AF70" s="7" cm="1">
        <f t="array" ref="AF70">AE70-AD70</f>
      </c>
    </row>
    <row r="71" ht="13.55" customHeight="1">
      <c r="A71" s="255"/>
      <c r="B71" s="9"/>
      <c r="C71" s="9"/>
      <c r="D71" s="9"/>
      <c r="E71" s="9"/>
      <c r="F71" t="s" s="8">
        <v>10</v>
      </c>
      <c r="G71" t="s" s="33">
        <v>159</v>
      </c>
      <c r="H71" t="s" s="8">
        <v>10</v>
      </c>
      <c r="I71" t="s" s="33">
        <v>159</v>
      </c>
      <c r="J71" t="s" s="8">
        <v>10</v>
      </c>
      <c r="K71" s="45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243">
        <v>10</v>
      </c>
      <c r="Y71" s="34"/>
      <c r="Z71" t="s" s="243">
        <v>10</v>
      </c>
      <c r="AA71" s="34"/>
      <c r="AB71" t="s" s="243">
        <v>10</v>
      </c>
      <c r="AC71" s="34"/>
      <c r="AD71" s="180"/>
      <c r="AE71" s="177"/>
      <c r="AF71" s="7"/>
    </row>
    <row r="72" ht="13.55" customHeight="1">
      <c r="A72" s="253"/>
      <c r="B72" s="9"/>
      <c r="C72" s="9"/>
      <c r="D72" s="9"/>
      <c r="E72" s="9"/>
      <c r="F72" s="9"/>
      <c r="G72" s="27"/>
      <c r="H72" s="9"/>
      <c r="I72" s="27"/>
      <c r="J72" s="9"/>
      <c r="K72" s="2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253"/>
      <c r="Y72" s="253"/>
      <c r="Z72" s="253"/>
      <c r="AA72" s="253"/>
      <c r="AB72" s="253"/>
      <c r="AC72" s="253"/>
      <c r="AD72" s="180"/>
      <c r="AE72" s="177"/>
      <c r="AF72" s="7"/>
    </row>
    <row r="73" ht="13.75" customHeight="1">
      <c r="A73" s="254">
        <v>11</v>
      </c>
      <c r="B73" t="s" s="130">
        <v>545</v>
      </c>
      <c r="C73" s="9"/>
      <c r="D73" s="9"/>
      <c r="E73" t="s" s="8">
        <v>5</v>
      </c>
      <c r="F73" t="s" s="8">
        <v>6</v>
      </c>
      <c r="G73" s="16">
        <v>3225</v>
      </c>
      <c r="H73" t="s" s="8">
        <v>6</v>
      </c>
      <c r="I73" s="16">
        <v>3225</v>
      </c>
      <c r="J73" t="s" s="8">
        <v>6</v>
      </c>
      <c r="K73" s="18"/>
      <c r="L73" t="s" s="8">
        <v>6</v>
      </c>
      <c r="M73" s="18"/>
      <c r="N73" t="s" s="8">
        <v>6</v>
      </c>
      <c r="O73" s="18"/>
      <c r="P73" t="s" s="8">
        <v>6</v>
      </c>
      <c r="Q73" s="18"/>
      <c r="R73" t="s" s="8">
        <v>6</v>
      </c>
      <c r="S73" s="18"/>
      <c r="T73" t="s" s="8">
        <v>6</v>
      </c>
      <c r="U73" s="18"/>
      <c r="V73" t="s" s="8">
        <v>6</v>
      </c>
      <c r="W73" s="18"/>
      <c r="X73" t="s" s="243">
        <v>6</v>
      </c>
      <c r="Y73" s="18"/>
      <c r="Z73" t="s" s="243">
        <v>6</v>
      </c>
      <c r="AA73" s="18"/>
      <c r="AB73" t="s" s="243">
        <v>6</v>
      </c>
      <c r="AC73" s="18"/>
      <c r="AD73" s="180"/>
      <c r="AE73" s="177"/>
      <c r="AF73" s="7"/>
    </row>
    <row r="74" ht="13.55" customHeight="1">
      <c r="A74" s="255"/>
      <c r="B74" s="27"/>
      <c r="C74" s="27"/>
      <c r="D74" s="27"/>
      <c r="E74" s="9"/>
      <c r="F74" t="s" s="8">
        <v>8</v>
      </c>
      <c r="G74" s="26">
        <v>1200</v>
      </c>
      <c r="H74" t="s" s="8">
        <v>8</v>
      </c>
      <c r="I74" s="26">
        <v>1200</v>
      </c>
      <c r="J74" t="s" s="8">
        <v>8</v>
      </c>
      <c r="K74" s="27"/>
      <c r="L74" t="s" s="8">
        <v>8</v>
      </c>
      <c r="M74" s="27"/>
      <c r="N74" t="s" s="8">
        <v>8</v>
      </c>
      <c r="O74" s="27"/>
      <c r="P74" t="s" s="8">
        <v>8</v>
      </c>
      <c r="Q74" s="27"/>
      <c r="R74" t="s" s="8">
        <v>8</v>
      </c>
      <c r="S74" s="27"/>
      <c r="T74" t="s" s="8">
        <v>8</v>
      </c>
      <c r="U74" s="27"/>
      <c r="V74" t="s" s="8">
        <v>8</v>
      </c>
      <c r="W74" s="27"/>
      <c r="X74" t="s" s="243">
        <v>8</v>
      </c>
      <c r="Y74" s="27"/>
      <c r="Z74" t="s" s="243">
        <v>8</v>
      </c>
      <c r="AA74" s="27"/>
      <c r="AB74" t="s" s="243">
        <v>8</v>
      </c>
      <c r="AC74" s="27"/>
      <c r="AD74" s="182" cm="1">
        <f t="array" ref="AD74">G74+I74+K74+M74+O74+Q74+S74+U74+W74+Y74+AA74+AC74</f>
        <v>2400</v>
      </c>
      <c r="AE74" s="183" cm="1">
        <f t="array" ref="AE74">1100*12</f>
        <v>13200</v>
      </c>
      <c r="AF74" s="51" cm="1">
        <f t="array" ref="AF74">AE74-AD74</f>
        <v>10800</v>
      </c>
    </row>
    <row r="75" ht="13.55" customHeight="1">
      <c r="A75" s="255"/>
      <c r="B75" s="27"/>
      <c r="C75" t="s" s="8">
        <v>9</v>
      </c>
      <c r="D75" s="26">
        <v>1000</v>
      </c>
      <c r="E75" s="9"/>
      <c r="F75" t="s" s="8">
        <v>10</v>
      </c>
      <c r="G75" t="s" s="33">
        <v>420</v>
      </c>
      <c r="H75" t="s" s="8">
        <v>10</v>
      </c>
      <c r="I75" t="s" s="33">
        <v>420</v>
      </c>
      <c r="J75" t="s" s="8">
        <v>10</v>
      </c>
      <c r="K75" s="34"/>
      <c r="L75" t="s" s="8">
        <v>10</v>
      </c>
      <c r="M75" s="34"/>
      <c r="N75" t="s" s="8">
        <v>10</v>
      </c>
      <c r="O75" s="34"/>
      <c r="P75" t="s" s="8">
        <v>10</v>
      </c>
      <c r="Q75" s="34"/>
      <c r="R75" t="s" s="8">
        <v>10</v>
      </c>
      <c r="S75" s="34"/>
      <c r="T75" t="s" s="8">
        <v>10</v>
      </c>
      <c r="U75" s="34"/>
      <c r="V75" t="s" s="8">
        <v>10</v>
      </c>
      <c r="W75" s="34"/>
      <c r="X75" t="s" s="243">
        <v>10</v>
      </c>
      <c r="Y75" s="34"/>
      <c r="Z75" t="s" s="243">
        <v>10</v>
      </c>
      <c r="AA75" s="34"/>
      <c r="AB75" t="s" s="243">
        <v>10</v>
      </c>
      <c r="AC75" s="34"/>
      <c r="AD75" s="180"/>
      <c r="AE75" s="177"/>
      <c r="AF75" s="7"/>
    </row>
    <row r="76" ht="13.75" customHeight="1">
      <c r="A76" s="255"/>
      <c r="B76" t="s" s="8">
        <v>546</v>
      </c>
      <c r="C76" s="9"/>
      <c r="D76" s="9"/>
      <c r="E76" t="s" s="8">
        <v>14</v>
      </c>
      <c r="F76" t="s" s="8">
        <v>6</v>
      </c>
      <c r="G76" s="18"/>
      <c r="H76" t="s" s="8">
        <v>6</v>
      </c>
      <c r="I76" s="18"/>
      <c r="J76" t="s" s="8">
        <v>6</v>
      </c>
      <c r="K76" s="40"/>
      <c r="L76" t="s" s="8">
        <v>6</v>
      </c>
      <c r="M76" s="18"/>
      <c r="N76" t="s" s="8">
        <v>6</v>
      </c>
      <c r="O76" s="18"/>
      <c r="P76" t="s" s="8">
        <v>6</v>
      </c>
      <c r="Q76" s="18"/>
      <c r="R76" t="s" s="8">
        <v>6</v>
      </c>
      <c r="S76" s="18"/>
      <c r="T76" t="s" s="8">
        <v>6</v>
      </c>
      <c r="U76" s="18"/>
      <c r="V76" t="s" s="8">
        <v>6</v>
      </c>
      <c r="W76" s="18"/>
      <c r="X76" t="s" s="243">
        <v>6</v>
      </c>
      <c r="Y76" s="18"/>
      <c r="Z76" t="s" s="243">
        <v>6</v>
      </c>
      <c r="AA76" s="18"/>
      <c r="AB76" t="s" s="243">
        <v>6</v>
      </c>
      <c r="AC76" s="18"/>
      <c r="AD76" s="180"/>
      <c r="AE76" s="177"/>
      <c r="AF76" s="7"/>
    </row>
    <row r="77" ht="13.55" customHeight="1">
      <c r="A77" s="255"/>
      <c r="B77" t="s" s="8">
        <v>547</v>
      </c>
      <c r="C77" s="9"/>
      <c r="D77" s="9"/>
      <c r="E77" s="9"/>
      <c r="F77" t="s" s="8">
        <v>8</v>
      </c>
      <c r="G77" s="27"/>
      <c r="H77" t="s" s="8">
        <v>8</v>
      </c>
      <c r="I77" s="27"/>
      <c r="J77" t="s" s="8">
        <v>8</v>
      </c>
      <c r="K77" s="41"/>
      <c r="L77" t="s" s="8">
        <v>8</v>
      </c>
      <c r="M77" s="27"/>
      <c r="N77" t="s" s="8">
        <v>8</v>
      </c>
      <c r="O77" s="27"/>
      <c r="P77" t="s" s="8">
        <v>8</v>
      </c>
      <c r="Q77" s="27"/>
      <c r="R77" t="s" s="8">
        <v>8</v>
      </c>
      <c r="S77" s="27"/>
      <c r="T77" t="s" s="8">
        <v>8</v>
      </c>
      <c r="U77" s="27"/>
      <c r="V77" t="s" s="8">
        <v>8</v>
      </c>
      <c r="W77" s="27"/>
      <c r="X77" t="s" s="243">
        <v>8</v>
      </c>
      <c r="Y77" s="27"/>
      <c r="Z77" t="s" s="243">
        <v>8</v>
      </c>
      <c r="AA77" s="27"/>
      <c r="AB77" t="s" s="243">
        <v>8</v>
      </c>
      <c r="AC77" s="27"/>
      <c r="AD77" s="180" cm="1">
        <f t="array" ref="AD77">G77+I77+K77+M77+O77+Q77+S77+U77+W77+Y77+AA77+AC77</f>
      </c>
      <c r="AE77" s="183" cm="1">
        <f t="array" ref="AE77">500*11</f>
        <v>5500</v>
      </c>
      <c r="AF77" s="7" cm="1">
        <f t="array" ref="AF77">AE77-AD77</f>
      </c>
    </row>
    <row r="78" ht="13.55" customHeight="1">
      <c r="A78" s="255"/>
      <c r="B78" s="9"/>
      <c r="C78" s="9"/>
      <c r="D78" s="9"/>
      <c r="E78" s="9"/>
      <c r="F78" t="s" s="8">
        <v>10</v>
      </c>
      <c r="G78" s="34"/>
      <c r="H78" t="s" s="8">
        <v>10</v>
      </c>
      <c r="I78" s="34"/>
      <c r="J78" t="s" s="8">
        <v>10</v>
      </c>
      <c r="K78" s="45"/>
      <c r="L78" t="s" s="8">
        <v>10</v>
      </c>
      <c r="M78" s="34"/>
      <c r="N78" t="s" s="8">
        <v>10</v>
      </c>
      <c r="O78" s="34"/>
      <c r="P78" t="s" s="8">
        <v>10</v>
      </c>
      <c r="Q78" s="34"/>
      <c r="R78" t="s" s="8">
        <v>10</v>
      </c>
      <c r="S78" s="34"/>
      <c r="T78" t="s" s="8">
        <v>10</v>
      </c>
      <c r="U78" s="34"/>
      <c r="V78" t="s" s="8">
        <v>10</v>
      </c>
      <c r="W78" s="34"/>
      <c r="X78" t="s" s="243">
        <v>10</v>
      </c>
      <c r="Y78" s="34"/>
      <c r="Z78" t="s" s="243">
        <v>10</v>
      </c>
      <c r="AA78" s="34"/>
      <c r="AB78" t="s" s="243">
        <v>10</v>
      </c>
      <c r="AC78" s="34"/>
      <c r="AD78" s="180"/>
      <c r="AE78" s="177"/>
      <c r="AF78" s="7"/>
    </row>
    <row r="79" ht="15.75" customHeight="1">
      <c r="A79" s="253"/>
      <c r="B79" s="279"/>
      <c r="C79" s="279"/>
      <c r="D79" s="279"/>
      <c r="E79" s="280"/>
      <c r="F79" s="280"/>
      <c r="G79" s="27"/>
      <c r="H79" s="280"/>
      <c r="I79" s="27"/>
      <c r="J79" s="280"/>
      <c r="K79" s="27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1"/>
      <c r="Y79" s="281"/>
      <c r="Z79" s="281"/>
      <c r="AA79" s="281"/>
      <c r="AB79" s="281"/>
      <c r="AC79" s="281"/>
      <c r="AD79" s="282"/>
      <c r="AE79" s="177"/>
      <c r="AF79" s="7"/>
    </row>
    <row r="80" ht="15.75" customHeight="1">
      <c r="A80" s="254">
        <v>12</v>
      </c>
      <c r="B80" t="s" s="283">
        <v>548</v>
      </c>
      <c r="C80" s="284"/>
      <c r="D80" s="284"/>
      <c r="E80" t="s" s="285">
        <v>5</v>
      </c>
      <c r="F80" t="s" s="285">
        <v>6</v>
      </c>
      <c r="G80" s="16">
        <v>1211</v>
      </c>
      <c r="H80" t="s" s="285">
        <v>6</v>
      </c>
      <c r="I80" s="16">
        <v>3157</v>
      </c>
      <c r="J80" t="s" s="285">
        <v>6</v>
      </c>
      <c r="K80" s="16">
        <v>3157</v>
      </c>
      <c r="L80" t="s" s="285">
        <v>6</v>
      </c>
      <c r="M80" s="286"/>
      <c r="N80" t="s" s="285">
        <v>6</v>
      </c>
      <c r="O80" s="286"/>
      <c r="P80" t="s" s="285">
        <v>6</v>
      </c>
      <c r="Q80" s="286"/>
      <c r="R80" t="s" s="285">
        <v>6</v>
      </c>
      <c r="S80" s="286"/>
      <c r="T80" t="s" s="285">
        <v>6</v>
      </c>
      <c r="U80" s="286"/>
      <c r="V80" t="s" s="285">
        <v>6</v>
      </c>
      <c r="W80" s="286"/>
      <c r="X80" t="s" s="287">
        <v>6</v>
      </c>
      <c r="Y80" s="286"/>
      <c r="Z80" t="s" s="287">
        <v>6</v>
      </c>
      <c r="AA80" s="286"/>
      <c r="AB80" t="s" s="287">
        <v>6</v>
      </c>
      <c r="AC80" s="286"/>
      <c r="AD80" s="288"/>
      <c r="AE80" s="177"/>
      <c r="AF80" s="7"/>
    </row>
    <row r="81" ht="13.55" customHeight="1">
      <c r="A81" s="255"/>
      <c r="B81" s="284"/>
      <c r="C81" s="289"/>
      <c r="D81" s="284"/>
      <c r="E81" s="9"/>
      <c r="F81" t="s" s="8">
        <v>8</v>
      </c>
      <c r="G81" s="26">
        <v>1200</v>
      </c>
      <c r="H81" t="s" s="8">
        <v>8</v>
      </c>
      <c r="I81" s="26">
        <v>1200</v>
      </c>
      <c r="J81" t="s" s="8">
        <v>8</v>
      </c>
      <c r="K81" s="26">
        <v>1200</v>
      </c>
      <c r="L81" t="s" s="8">
        <v>8</v>
      </c>
      <c r="M81" s="27"/>
      <c r="N81" t="s" s="8">
        <v>8</v>
      </c>
      <c r="O81" s="27"/>
      <c r="P81" t="s" s="8">
        <v>8</v>
      </c>
      <c r="Q81" s="27"/>
      <c r="R81" t="s" s="8">
        <v>8</v>
      </c>
      <c r="S81" s="27"/>
      <c r="T81" t="s" s="8">
        <v>8</v>
      </c>
      <c r="U81" s="27"/>
      <c r="V81" t="s" s="8">
        <v>8</v>
      </c>
      <c r="W81" s="27"/>
      <c r="X81" t="s" s="243">
        <v>8</v>
      </c>
      <c r="Y81" s="27"/>
      <c r="Z81" t="s" s="243">
        <v>8</v>
      </c>
      <c r="AA81" s="27"/>
      <c r="AB81" t="s" s="243">
        <v>8</v>
      </c>
      <c r="AC81" s="27"/>
      <c r="AD81" s="182" cm="1">
        <f t="array" ref="AD81">G81+I81+K81+M81+O81+Q81+S81+U81+W81+Y81+AA81+AC81</f>
        <v>3600</v>
      </c>
      <c r="AE81" s="183" cm="1">
        <f t="array" ref="AE81">1100*12</f>
        <v>13200</v>
      </c>
      <c r="AF81" s="51" cm="1">
        <f t="array" ref="AF81">AE81-AD81</f>
        <v>9600</v>
      </c>
    </row>
    <row r="82" ht="15.75" customHeight="1">
      <c r="A82" s="255"/>
      <c r="B82" s="289"/>
      <c r="C82" t="s" s="8">
        <v>9</v>
      </c>
      <c r="D82" s="290">
        <v>1000</v>
      </c>
      <c r="E82" s="9"/>
      <c r="F82" t="s" s="8">
        <v>10</v>
      </c>
      <c r="G82" t="s" s="33">
        <v>370</v>
      </c>
      <c r="H82" t="s" s="8">
        <v>10</v>
      </c>
      <c r="I82" t="s" s="33">
        <v>142</v>
      </c>
      <c r="J82" t="s" s="8">
        <v>10</v>
      </c>
      <c r="K82" t="s" s="33">
        <v>142</v>
      </c>
      <c r="L82" t="s" s="8">
        <v>10</v>
      </c>
      <c r="M82" s="46"/>
      <c r="N82" t="s" s="8">
        <v>10</v>
      </c>
      <c r="O82" s="46"/>
      <c r="P82" t="s" s="8">
        <v>10</v>
      </c>
      <c r="Q82" s="46"/>
      <c r="R82" t="s" s="8">
        <v>10</v>
      </c>
      <c r="S82" s="291"/>
      <c r="T82" t="s" s="8">
        <v>10</v>
      </c>
      <c r="U82" s="291"/>
      <c r="V82" t="s" s="8">
        <v>10</v>
      </c>
      <c r="W82" s="291"/>
      <c r="X82" t="s" s="243">
        <v>10</v>
      </c>
      <c r="Y82" s="291"/>
      <c r="Z82" t="s" s="243">
        <v>10</v>
      </c>
      <c r="AA82" s="291"/>
      <c r="AB82" t="s" s="243">
        <v>10</v>
      </c>
      <c r="AC82" s="291"/>
      <c r="AD82" s="180"/>
      <c r="AE82" s="177"/>
      <c r="AF82" s="7"/>
    </row>
    <row r="83" ht="15.75" customHeight="1">
      <c r="A83" s="255"/>
      <c r="B83" t="s" s="8">
        <v>549</v>
      </c>
      <c r="C83" s="9"/>
      <c r="D83" s="9"/>
      <c r="E83" t="s" s="8">
        <v>14</v>
      </c>
      <c r="F83" t="s" s="8">
        <v>6</v>
      </c>
      <c r="G83" s="16">
        <v>2118</v>
      </c>
      <c r="H83" t="s" s="8">
        <v>6</v>
      </c>
      <c r="I83" s="16">
        <v>2151</v>
      </c>
      <c r="J83" t="s" s="8">
        <v>6</v>
      </c>
      <c r="K83" s="40"/>
      <c r="L83" t="s" s="8">
        <v>6</v>
      </c>
      <c r="M83" s="18"/>
      <c r="N83" t="s" s="8">
        <v>6</v>
      </c>
      <c r="O83" s="18"/>
      <c r="P83" t="s" s="8">
        <v>6</v>
      </c>
      <c r="Q83" s="18"/>
      <c r="R83" t="s" s="8">
        <v>6</v>
      </c>
      <c r="S83" s="286"/>
      <c r="T83" t="s" s="8">
        <v>6</v>
      </c>
      <c r="U83" s="286"/>
      <c r="V83" t="s" s="8">
        <v>6</v>
      </c>
      <c r="W83" s="286"/>
      <c r="X83" t="s" s="243">
        <v>6</v>
      </c>
      <c r="Y83" s="286"/>
      <c r="Z83" t="s" s="243">
        <v>6</v>
      </c>
      <c r="AA83" s="286"/>
      <c r="AB83" t="s" s="243">
        <v>6</v>
      </c>
      <c r="AC83" s="286"/>
      <c r="AD83" s="180"/>
      <c r="AE83" s="177"/>
      <c r="AF83" s="7"/>
    </row>
    <row r="84" ht="13.55" customHeight="1">
      <c r="A84" s="255"/>
      <c r="B84" t="s" s="8">
        <v>550</v>
      </c>
      <c r="C84" s="9"/>
      <c r="D84" s="9"/>
      <c r="E84" s="9"/>
      <c r="F84" t="s" s="8">
        <v>8</v>
      </c>
      <c r="G84" s="26">
        <v>600</v>
      </c>
      <c r="H84" t="s" s="8">
        <v>8</v>
      </c>
      <c r="I84" s="26">
        <v>600</v>
      </c>
      <c r="J84" t="s" s="8">
        <v>8</v>
      </c>
      <c r="K84" s="41"/>
      <c r="L84" t="s" s="8">
        <v>8</v>
      </c>
      <c r="M84" s="27"/>
      <c r="N84" t="s" s="8">
        <v>8</v>
      </c>
      <c r="O84" s="27"/>
      <c r="P84" t="s" s="8">
        <v>8</v>
      </c>
      <c r="Q84" s="27"/>
      <c r="R84" t="s" s="8">
        <v>8</v>
      </c>
      <c r="S84" s="27"/>
      <c r="T84" t="s" s="8">
        <v>8</v>
      </c>
      <c r="U84" s="27"/>
      <c r="V84" t="s" s="8">
        <v>8</v>
      </c>
      <c r="W84" s="27"/>
      <c r="X84" t="s" s="243">
        <v>8</v>
      </c>
      <c r="Y84" s="27"/>
      <c r="Z84" t="s" s="243">
        <v>8</v>
      </c>
      <c r="AA84" s="27"/>
      <c r="AB84" t="s" s="243">
        <v>8</v>
      </c>
      <c r="AC84" s="27"/>
      <c r="AD84" s="180" cm="1">
        <f t="array" ref="AD84">G84+I84+K84+M84+O84+Q84+S84+U84+W84+Y84+AA84+AC84</f>
      </c>
      <c r="AE84" s="183" cm="1">
        <f t="array" ref="AE84">500*11</f>
        <v>5500</v>
      </c>
      <c r="AF84" s="7" cm="1">
        <f t="array" ref="AF84">AE84-AD84</f>
      </c>
    </row>
    <row r="85" ht="13.55" customHeight="1">
      <c r="A85" s="255"/>
      <c r="B85" s="279"/>
      <c r="C85" s="279"/>
      <c r="D85" s="279"/>
      <c r="E85" s="9"/>
      <c r="F85" t="s" s="8">
        <v>10</v>
      </c>
      <c r="G85" t="s" s="33">
        <v>370</v>
      </c>
      <c r="H85" t="s" s="8">
        <v>10</v>
      </c>
      <c r="I85" t="s" s="33">
        <v>142</v>
      </c>
      <c r="J85" t="s" s="8">
        <v>10</v>
      </c>
      <c r="K85" s="45"/>
      <c r="L85" t="s" s="8">
        <v>10</v>
      </c>
      <c r="M85" s="34"/>
      <c r="N85" t="s" s="8">
        <v>10</v>
      </c>
      <c r="O85" s="34"/>
      <c r="P85" t="s" s="8">
        <v>10</v>
      </c>
      <c r="Q85" s="34"/>
      <c r="R85" t="s" s="8">
        <v>10</v>
      </c>
      <c r="S85" s="46"/>
      <c r="T85" t="s" s="8">
        <v>10</v>
      </c>
      <c r="U85" s="46"/>
      <c r="V85" t="s" s="8">
        <v>10</v>
      </c>
      <c r="W85" s="46"/>
      <c r="X85" t="s" s="243">
        <v>10</v>
      </c>
      <c r="Y85" s="46"/>
      <c r="Z85" t="s" s="243">
        <v>10</v>
      </c>
      <c r="AA85" s="46"/>
      <c r="AB85" t="s" s="243">
        <v>10</v>
      </c>
      <c r="AC85" s="46"/>
      <c r="AD85" s="180"/>
      <c r="AE85" s="177"/>
      <c r="AF85" s="7"/>
    </row>
    <row r="86" ht="15.75" customHeight="1">
      <c r="A86" s="253"/>
      <c r="B86" s="292"/>
      <c r="C86" s="292"/>
      <c r="D86" s="292"/>
      <c r="E86" s="280"/>
      <c r="F86" s="280"/>
      <c r="G86" s="131"/>
      <c r="H86" s="280"/>
      <c r="I86" s="131"/>
      <c r="J86" s="280"/>
      <c r="K86" s="131"/>
      <c r="L86" s="280"/>
      <c r="M86" s="131"/>
      <c r="N86" s="280"/>
      <c r="O86" s="131"/>
      <c r="P86" s="280"/>
      <c r="Q86" s="131"/>
      <c r="R86" s="280"/>
      <c r="S86" s="9"/>
      <c r="T86" s="280"/>
      <c r="U86" s="9"/>
      <c r="V86" s="280"/>
      <c r="W86" s="9"/>
      <c r="X86" s="281"/>
      <c r="Y86" s="281"/>
      <c r="Z86" s="281"/>
      <c r="AA86" s="293"/>
      <c r="AB86" s="294"/>
      <c r="AC86" s="281"/>
      <c r="AD86" s="282"/>
      <c r="AE86" s="177"/>
      <c r="AF86" s="7"/>
    </row>
    <row r="87" ht="15.75" customHeight="1">
      <c r="A87" s="154">
        <v>13</v>
      </c>
      <c r="B87" t="s" s="295">
        <v>551</v>
      </c>
      <c r="C87" s="296"/>
      <c r="D87" s="296"/>
      <c r="E87" t="s" s="285">
        <v>5</v>
      </c>
      <c r="F87" t="s" s="285">
        <v>6</v>
      </c>
      <c r="G87" s="18"/>
      <c r="H87" t="s" s="285">
        <v>6</v>
      </c>
      <c r="I87" s="18"/>
      <c r="J87" t="s" s="285">
        <v>6</v>
      </c>
      <c r="K87" s="18"/>
      <c r="L87" t="s" s="285">
        <v>6</v>
      </c>
      <c r="M87" s="18"/>
      <c r="N87" t="s" s="285">
        <v>6</v>
      </c>
      <c r="O87" s="18"/>
      <c r="P87" t="s" s="285">
        <v>6</v>
      </c>
      <c r="Q87" s="18"/>
      <c r="R87" t="s" s="285">
        <v>6</v>
      </c>
      <c r="S87" s="18"/>
      <c r="T87" t="s" s="285">
        <v>6</v>
      </c>
      <c r="U87" s="18"/>
      <c r="V87" t="s" s="285">
        <v>6</v>
      </c>
      <c r="W87" s="18"/>
      <c r="X87" t="s" s="287">
        <v>6</v>
      </c>
      <c r="Y87" s="286"/>
      <c r="Z87" t="s" s="287">
        <v>6</v>
      </c>
      <c r="AA87" s="286"/>
      <c r="AB87" t="s" s="287">
        <v>6</v>
      </c>
      <c r="AC87" s="297"/>
      <c r="AD87" s="288"/>
      <c r="AE87" s="177"/>
      <c r="AF87" s="7"/>
    </row>
    <row r="88" ht="13.55" customHeight="1">
      <c r="A88" s="155"/>
      <c r="B88" s="27"/>
      <c r="C88" s="9"/>
      <c r="D88" s="27"/>
      <c r="E88" s="9"/>
      <c r="F88" t="s" s="8">
        <v>8</v>
      </c>
      <c r="G88" s="27"/>
      <c r="H88" t="s" s="8">
        <v>8</v>
      </c>
      <c r="I88" s="27"/>
      <c r="J88" t="s" s="8">
        <v>8</v>
      </c>
      <c r="K88" s="27"/>
      <c r="L88" t="s" s="8">
        <v>8</v>
      </c>
      <c r="M88" s="27"/>
      <c r="N88" t="s" s="8">
        <v>8</v>
      </c>
      <c r="O88" s="27"/>
      <c r="P88" t="s" s="8">
        <v>8</v>
      </c>
      <c r="Q88" s="27"/>
      <c r="R88" t="s" s="8">
        <v>8</v>
      </c>
      <c r="S88" s="27"/>
      <c r="T88" t="s" s="8">
        <v>8</v>
      </c>
      <c r="U88" s="27"/>
      <c r="V88" t="s" s="8">
        <v>8</v>
      </c>
      <c r="W88" s="27"/>
      <c r="X88" t="s" s="243">
        <v>8</v>
      </c>
      <c r="Y88" s="27"/>
      <c r="Z88" t="s" s="243">
        <v>8</v>
      </c>
      <c r="AA88" s="27"/>
      <c r="AB88" t="s" s="243">
        <v>8</v>
      </c>
      <c r="AC88" s="253"/>
      <c r="AD88" s="182" cm="1">
        <f t="array" ref="AD88">G88+I88+K88+M88+O88+Q88+S88+U88+W88+Y88+AA88+AC88</f>
        <v>0</v>
      </c>
      <c r="AE88" s="183" cm="1">
        <f t="array" ref="AE88">1100*12</f>
        <v>13200</v>
      </c>
      <c r="AF88" s="51" cm="1">
        <f t="array" ref="AF88">AE88-AD88</f>
        <v>13200</v>
      </c>
    </row>
    <row r="89" ht="13.55" customHeight="1">
      <c r="A89" s="155"/>
      <c r="B89" s="27"/>
      <c r="C89" t="s" s="8">
        <v>9</v>
      </c>
      <c r="D89" s="27"/>
      <c r="E89" t="s" s="8">
        <v>357</v>
      </c>
      <c r="F89" t="s" s="8">
        <v>10</v>
      </c>
      <c r="G89" s="34"/>
      <c r="H89" t="s" s="8">
        <v>10</v>
      </c>
      <c r="I89" s="34"/>
      <c r="J89" t="s" s="8">
        <v>10</v>
      </c>
      <c r="K89" s="34"/>
      <c r="L89" t="s" s="8">
        <v>10</v>
      </c>
      <c r="M89" s="34"/>
      <c r="N89" t="s" s="8">
        <v>10</v>
      </c>
      <c r="O89" s="34"/>
      <c r="P89" t="s" s="8">
        <v>10</v>
      </c>
      <c r="Q89" s="34"/>
      <c r="R89" t="s" s="8">
        <v>10</v>
      </c>
      <c r="S89" s="34"/>
      <c r="T89" t="s" s="8">
        <v>10</v>
      </c>
      <c r="U89" s="34"/>
      <c r="V89" t="s" s="8">
        <v>10</v>
      </c>
      <c r="W89" s="34"/>
      <c r="X89" t="s" s="243">
        <v>10</v>
      </c>
      <c r="Y89" s="46"/>
      <c r="Z89" t="s" s="243">
        <v>10</v>
      </c>
      <c r="AA89" s="46"/>
      <c r="AB89" t="s" s="243">
        <v>10</v>
      </c>
      <c r="AC89" s="253"/>
      <c r="AD89" s="180"/>
      <c r="AE89" s="177"/>
      <c r="AF89" s="7"/>
    </row>
    <row r="90" ht="13.55" customHeight="1">
      <c r="A90" s="155"/>
      <c r="B90" t="s" s="8">
        <v>552</v>
      </c>
      <c r="C90" s="9"/>
      <c r="D90" s="9"/>
      <c r="E90" t="s" s="8">
        <v>14</v>
      </c>
      <c r="F90" t="s" s="8">
        <v>6</v>
      </c>
      <c r="G90" s="131"/>
      <c r="H90" t="s" s="8">
        <v>6</v>
      </c>
      <c r="I90" s="131"/>
      <c r="J90" t="s" s="8">
        <v>6</v>
      </c>
      <c r="K90" s="131"/>
      <c r="L90" t="s" s="8">
        <v>6</v>
      </c>
      <c r="M90" s="131"/>
      <c r="N90" t="s" s="8">
        <v>6</v>
      </c>
      <c r="O90" s="131"/>
      <c r="P90" t="s" s="8">
        <v>6</v>
      </c>
      <c r="Q90" s="131"/>
      <c r="R90" t="s" s="8">
        <v>6</v>
      </c>
      <c r="S90" s="9"/>
      <c r="T90" t="s" s="8">
        <v>6</v>
      </c>
      <c r="U90" s="9"/>
      <c r="V90" t="s" s="8">
        <v>6</v>
      </c>
      <c r="W90" s="9"/>
      <c r="X90" t="s" s="243">
        <v>6</v>
      </c>
      <c r="Y90" s="253"/>
      <c r="Z90" t="s" s="243">
        <v>6</v>
      </c>
      <c r="AA90" s="253"/>
      <c r="AB90" t="s" s="243">
        <v>6</v>
      </c>
      <c r="AC90" s="253"/>
      <c r="AD90" s="180"/>
      <c r="AE90" s="177"/>
      <c r="AF90" s="7"/>
    </row>
    <row r="91" ht="13.55" customHeight="1">
      <c r="A91" s="155"/>
      <c r="B91" t="s" s="8">
        <v>553</v>
      </c>
      <c r="C91" s="9"/>
      <c r="D91" s="9"/>
      <c r="E91" s="9"/>
      <c r="F91" t="s" s="8">
        <v>8</v>
      </c>
      <c r="G91" s="27"/>
      <c r="H91" t="s" s="8">
        <v>8</v>
      </c>
      <c r="I91" s="27"/>
      <c r="J91" t="s" s="8">
        <v>8</v>
      </c>
      <c r="K91" s="27"/>
      <c r="L91" t="s" s="8">
        <v>8</v>
      </c>
      <c r="M91" s="27"/>
      <c r="N91" t="s" s="8">
        <v>8</v>
      </c>
      <c r="O91" s="27"/>
      <c r="P91" t="s" s="8">
        <v>8</v>
      </c>
      <c r="Q91" s="27"/>
      <c r="R91" t="s" s="8">
        <v>8</v>
      </c>
      <c r="S91" s="9"/>
      <c r="T91" t="s" s="8">
        <v>8</v>
      </c>
      <c r="U91" s="9"/>
      <c r="V91" t="s" s="8">
        <v>8</v>
      </c>
      <c r="W91" s="9"/>
      <c r="X91" t="s" s="243">
        <v>8</v>
      </c>
      <c r="Y91" s="253"/>
      <c r="Z91" t="s" s="243">
        <v>8</v>
      </c>
      <c r="AA91" s="253"/>
      <c r="AB91" t="s" s="243">
        <v>8</v>
      </c>
      <c r="AC91" s="253"/>
      <c r="AD91" s="182" cm="1">
        <f t="array" ref="AD91">G91+I91+K91+M91+O91+Q91+S91+U91+W91+Y91+AA91+AC91</f>
        <v>0</v>
      </c>
      <c r="AE91" s="177"/>
      <c r="AF91" s="7"/>
    </row>
    <row r="92" ht="13.55" customHeight="1">
      <c r="A92" s="155"/>
      <c r="B92" s="9"/>
      <c r="C92" s="9"/>
      <c r="D92" s="9"/>
      <c r="E92" s="9"/>
      <c r="F92" t="s" s="8">
        <v>10</v>
      </c>
      <c r="G92" s="34"/>
      <c r="H92" t="s" s="8">
        <v>10</v>
      </c>
      <c r="I92" s="34"/>
      <c r="J92" t="s" s="8">
        <v>10</v>
      </c>
      <c r="K92" s="34"/>
      <c r="L92" t="s" s="8">
        <v>10</v>
      </c>
      <c r="M92" s="34"/>
      <c r="N92" t="s" s="8">
        <v>10</v>
      </c>
      <c r="O92" s="34"/>
      <c r="P92" t="s" s="8">
        <v>10</v>
      </c>
      <c r="Q92" s="34"/>
      <c r="R92" t="s" s="8">
        <v>10</v>
      </c>
      <c r="S92" s="9"/>
      <c r="T92" t="s" s="8">
        <v>10</v>
      </c>
      <c r="U92" s="9"/>
      <c r="V92" t="s" s="8">
        <v>10</v>
      </c>
      <c r="W92" s="9"/>
      <c r="X92" t="s" s="243">
        <v>10</v>
      </c>
      <c r="Y92" s="253"/>
      <c r="Z92" t="s" s="243">
        <v>10</v>
      </c>
      <c r="AA92" s="253"/>
      <c r="AB92" t="s" s="243">
        <v>10</v>
      </c>
      <c r="AC92" s="253"/>
      <c r="AD92" s="180"/>
      <c r="AE92" s="177"/>
      <c r="AF92" s="7"/>
    </row>
    <row r="93" ht="15.75" customHeight="1">
      <c r="A93" s="253"/>
      <c r="B93" s="280"/>
      <c r="C93" s="280"/>
      <c r="D93" s="280"/>
      <c r="E93" s="280"/>
      <c r="F93" s="280"/>
      <c r="G93" s="27"/>
      <c r="H93" s="280"/>
      <c r="I93" s="27"/>
      <c r="J93" s="280"/>
      <c r="K93" s="27"/>
      <c r="L93" s="280"/>
      <c r="M93" s="9"/>
      <c r="N93" s="280"/>
      <c r="O93" s="9"/>
      <c r="P93" s="280"/>
      <c r="Q93" s="9"/>
      <c r="R93" s="280"/>
      <c r="S93" s="9"/>
      <c r="T93" s="280"/>
      <c r="U93" s="9"/>
      <c r="V93" s="280"/>
      <c r="W93" s="9"/>
      <c r="X93" s="281"/>
      <c r="Y93" s="253"/>
      <c r="Z93" s="281"/>
      <c r="AA93" s="253"/>
      <c r="AB93" s="281"/>
      <c r="AC93" s="253"/>
      <c r="AD93" s="180"/>
      <c r="AE93" s="177"/>
      <c r="AF93" s="7"/>
    </row>
    <row r="94" ht="16.5" customHeight="1">
      <c r="A94" s="254">
        <v>14</v>
      </c>
      <c r="B94" t="s" s="295">
        <v>554</v>
      </c>
      <c r="C94" s="296"/>
      <c r="D94" s="296"/>
      <c r="E94" t="s" s="285">
        <v>5</v>
      </c>
      <c r="F94" t="s" s="285">
        <v>6</v>
      </c>
      <c r="G94" s="16">
        <v>1167</v>
      </c>
      <c r="H94" t="s" s="285">
        <v>6</v>
      </c>
      <c r="I94" s="16">
        <v>3202</v>
      </c>
      <c r="J94" t="s" s="285">
        <v>6</v>
      </c>
      <c r="K94" s="18"/>
      <c r="L94" t="s" s="285">
        <v>6</v>
      </c>
      <c r="M94" s="18"/>
      <c r="N94" t="s" s="285">
        <v>6</v>
      </c>
      <c r="O94" s="18"/>
      <c r="P94" t="s" s="285">
        <v>6</v>
      </c>
      <c r="Q94" s="18"/>
      <c r="R94" t="s" s="285">
        <v>6</v>
      </c>
      <c r="S94" s="18"/>
      <c r="T94" t="s" s="285">
        <v>6</v>
      </c>
      <c r="U94" s="18"/>
      <c r="V94" t="s" s="285">
        <v>6</v>
      </c>
      <c r="W94" s="18"/>
      <c r="X94" t="s" s="285">
        <v>6</v>
      </c>
      <c r="Y94" s="18"/>
      <c r="Z94" t="s" s="285">
        <v>6</v>
      </c>
      <c r="AA94" s="18"/>
      <c r="AB94" t="s" s="285">
        <v>6</v>
      </c>
      <c r="AC94" s="18"/>
      <c r="AD94" s="180"/>
      <c r="AE94" s="177"/>
      <c r="AF94" s="7"/>
    </row>
    <row r="95" ht="13.55" customHeight="1">
      <c r="A95" s="255"/>
      <c r="B95" s="27"/>
      <c r="C95" s="9"/>
      <c r="D95" s="27"/>
      <c r="E95" s="9"/>
      <c r="F95" t="s" s="8">
        <v>8</v>
      </c>
      <c r="G95" s="26">
        <v>1200</v>
      </c>
      <c r="H95" t="s" s="8">
        <v>8</v>
      </c>
      <c r="I95" s="26">
        <v>1200</v>
      </c>
      <c r="J95" t="s" s="8">
        <v>8</v>
      </c>
      <c r="K95" s="27"/>
      <c r="L95" t="s" s="8">
        <v>8</v>
      </c>
      <c r="M95" s="27"/>
      <c r="N95" t="s" s="8">
        <v>8</v>
      </c>
      <c r="O95" s="27"/>
      <c r="P95" t="s" s="8">
        <v>8</v>
      </c>
      <c r="Q95" s="27"/>
      <c r="R95" t="s" s="8">
        <v>8</v>
      </c>
      <c r="S95" s="27"/>
      <c r="T95" t="s" s="8">
        <v>8</v>
      </c>
      <c r="U95" s="27"/>
      <c r="V95" t="s" s="8">
        <v>8</v>
      </c>
      <c r="W95" s="27"/>
      <c r="X95" t="s" s="8">
        <v>8</v>
      </c>
      <c r="Y95" s="27"/>
      <c r="Z95" t="s" s="8">
        <v>8</v>
      </c>
      <c r="AA95" s="27"/>
      <c r="AB95" t="s" s="8">
        <v>8</v>
      </c>
      <c r="AC95" s="27"/>
      <c r="AD95" s="182" cm="1">
        <f t="array" ref="AD95">G95+I95+K95+M95+O95+Q95+S95+U95+W95+Y95+AA95+AC95</f>
        <v>2400</v>
      </c>
      <c r="AE95" s="183" cm="1">
        <f t="array" ref="AE95">1100*12</f>
        <v>13200</v>
      </c>
      <c r="AF95" s="51" cm="1">
        <f t="array" ref="AF95">AE95-AD95</f>
        <v>10800</v>
      </c>
    </row>
    <row r="96" ht="15.75" customHeight="1">
      <c r="A96" s="255"/>
      <c r="B96" s="27"/>
      <c r="C96" t="s" s="8">
        <v>9</v>
      </c>
      <c r="D96" s="26">
        <v>1000</v>
      </c>
      <c r="E96" s="9"/>
      <c r="F96" t="s" s="8">
        <v>10</v>
      </c>
      <c r="G96" t="s" s="33">
        <v>70</v>
      </c>
      <c r="H96" t="s" s="8">
        <v>10</v>
      </c>
      <c r="I96" t="s" s="33">
        <v>24</v>
      </c>
      <c r="J96" t="s" s="8">
        <v>10</v>
      </c>
      <c r="K96" s="34"/>
      <c r="L96" t="s" s="8">
        <v>10</v>
      </c>
      <c r="M96" s="34"/>
      <c r="N96" t="s" s="8">
        <v>10</v>
      </c>
      <c r="O96" s="34"/>
      <c r="P96" t="s" s="8">
        <v>10</v>
      </c>
      <c r="Q96" s="34"/>
      <c r="R96" t="s" s="8">
        <v>10</v>
      </c>
      <c r="S96" s="34"/>
      <c r="T96" t="s" s="8">
        <v>10</v>
      </c>
      <c r="U96" s="34"/>
      <c r="V96" t="s" s="8">
        <v>10</v>
      </c>
      <c r="W96" s="34"/>
      <c r="X96" t="s" s="8">
        <v>10</v>
      </c>
      <c r="Y96" s="34"/>
      <c r="Z96" t="s" s="298">
        <v>10</v>
      </c>
      <c r="AA96" s="34"/>
      <c r="AB96" t="s" s="298">
        <v>10</v>
      </c>
      <c r="AC96" s="34"/>
      <c r="AD96" s="180"/>
      <c r="AE96" s="177"/>
      <c r="AF96" s="7"/>
    </row>
    <row r="97" ht="15.75" customHeight="1">
      <c r="A97" s="255"/>
      <c r="B97" t="s" s="8">
        <v>555</v>
      </c>
      <c r="C97" s="9"/>
      <c r="D97" s="9"/>
      <c r="E97" t="s" s="8">
        <v>14</v>
      </c>
      <c r="F97" t="s" s="8">
        <v>6</v>
      </c>
      <c r="G97" s="16">
        <v>2083</v>
      </c>
      <c r="H97" t="s" s="8">
        <v>6</v>
      </c>
      <c r="I97" s="16">
        <v>2176</v>
      </c>
      <c r="J97" t="s" s="8">
        <v>6</v>
      </c>
      <c r="K97" s="299"/>
      <c r="L97" t="s" s="8">
        <v>6</v>
      </c>
      <c r="M97" s="18"/>
      <c r="N97" t="s" s="8">
        <v>6</v>
      </c>
      <c r="O97" s="18"/>
      <c r="P97" t="s" s="8">
        <v>6</v>
      </c>
      <c r="Q97" s="18"/>
      <c r="R97" t="s" s="8">
        <v>6</v>
      </c>
      <c r="S97" s="18"/>
      <c r="T97" t="s" s="8">
        <v>6</v>
      </c>
      <c r="U97" s="18"/>
      <c r="V97" t="s" s="8">
        <v>6</v>
      </c>
      <c r="W97" s="18"/>
      <c r="X97" t="s" s="8">
        <v>6</v>
      </c>
      <c r="Y97" s="18"/>
      <c r="Z97" t="s" s="285">
        <v>6</v>
      </c>
      <c r="AA97" s="18"/>
      <c r="AB97" t="s" s="285">
        <v>6</v>
      </c>
      <c r="AC97" s="18"/>
      <c r="AD97" s="180"/>
      <c r="AE97" s="177"/>
      <c r="AF97" s="7"/>
    </row>
    <row r="98" ht="13.55" customHeight="1">
      <c r="A98" s="255"/>
      <c r="B98" t="s" s="8">
        <v>556</v>
      </c>
      <c r="C98" s="9"/>
      <c r="D98" s="9"/>
      <c r="E98" s="9"/>
      <c r="F98" t="s" s="8">
        <v>8</v>
      </c>
      <c r="G98" s="26">
        <v>800</v>
      </c>
      <c r="H98" t="s" s="8">
        <v>8</v>
      </c>
      <c r="I98" s="26">
        <v>800</v>
      </c>
      <c r="J98" t="s" s="8">
        <v>8</v>
      </c>
      <c r="K98" s="253"/>
      <c r="L98" t="s" s="8">
        <v>8</v>
      </c>
      <c r="M98" s="27"/>
      <c r="N98" t="s" s="8">
        <v>8</v>
      </c>
      <c r="O98" s="27"/>
      <c r="P98" t="s" s="8">
        <v>8</v>
      </c>
      <c r="Q98" s="27"/>
      <c r="R98" t="s" s="8">
        <v>8</v>
      </c>
      <c r="S98" s="27"/>
      <c r="T98" t="s" s="8">
        <v>8</v>
      </c>
      <c r="U98" s="27"/>
      <c r="V98" t="s" s="8">
        <v>8</v>
      </c>
      <c r="W98" s="27"/>
      <c r="X98" t="s" s="8">
        <v>8</v>
      </c>
      <c r="Y98" s="27"/>
      <c r="Z98" t="s" s="8">
        <v>8</v>
      </c>
      <c r="AA98" s="27"/>
      <c r="AB98" t="s" s="8">
        <v>8</v>
      </c>
      <c r="AC98" s="27"/>
      <c r="AD98" s="182" cm="1">
        <f t="array" ref="AD98">G98+I98+K98+M98+O98+Q98+S98+U98+W98+Y98+AA98+AC98</f>
        <v>1600</v>
      </c>
      <c r="AE98" s="183" cm="1">
        <f t="array" ref="AE98">700*11</f>
        <v>7700</v>
      </c>
      <c r="AF98" s="51" cm="1">
        <f t="array" ref="AF98">AE98-AD98</f>
        <v>6100</v>
      </c>
    </row>
    <row r="99" ht="13.55" customHeight="1">
      <c r="A99" s="255"/>
      <c r="B99" s="300"/>
      <c r="C99" s="9"/>
      <c r="D99" s="9"/>
      <c r="E99" s="9"/>
      <c r="F99" t="s" s="8">
        <v>10</v>
      </c>
      <c r="G99" t="s" s="33">
        <v>70</v>
      </c>
      <c r="H99" t="s" s="8">
        <v>10</v>
      </c>
      <c r="I99" t="s" s="33">
        <v>24</v>
      </c>
      <c r="J99" t="s" s="8">
        <v>10</v>
      </c>
      <c r="K99" s="23"/>
      <c r="L99" t="s" s="8">
        <v>10</v>
      </c>
      <c r="M99" s="34"/>
      <c r="N99" t="s" s="8">
        <v>10</v>
      </c>
      <c r="O99" s="34"/>
      <c r="P99" t="s" s="8">
        <v>10</v>
      </c>
      <c r="Q99" s="34"/>
      <c r="R99" t="s" s="8">
        <v>10</v>
      </c>
      <c r="S99" s="34"/>
      <c r="T99" t="s" s="8">
        <v>10</v>
      </c>
      <c r="U99" s="34"/>
      <c r="V99" t="s" s="8">
        <v>10</v>
      </c>
      <c r="W99" s="34"/>
      <c r="X99" t="s" s="8">
        <v>10</v>
      </c>
      <c r="Y99" s="34"/>
      <c r="Z99" t="s" s="8">
        <v>10</v>
      </c>
      <c r="AA99" s="34"/>
      <c r="AB99" t="s" s="8">
        <v>10</v>
      </c>
      <c r="AC99" s="34"/>
      <c r="AD99" s="72"/>
      <c r="AE99" s="7"/>
      <c r="AF99" s="7"/>
    </row>
    <row r="100" ht="15.75" customHeight="1">
      <c r="A100" s="253"/>
      <c r="B100" s="301"/>
      <c r="C100" s="302"/>
      <c r="D100" s="302"/>
      <c r="E100" s="302"/>
      <c r="F100" s="302"/>
      <c r="G100" s="303"/>
      <c r="H100" s="302"/>
      <c r="I100" s="303"/>
      <c r="J100" s="302"/>
      <c r="K100" s="303"/>
      <c r="L100" s="302"/>
      <c r="M100" s="303"/>
      <c r="N100" s="302"/>
      <c r="O100" s="303"/>
      <c r="P100" s="302"/>
      <c r="Q100" s="303"/>
      <c r="R100" s="302"/>
      <c r="S100" s="304"/>
      <c r="T100" s="302"/>
      <c r="U100" s="304"/>
      <c r="V100" s="302"/>
      <c r="W100" s="304"/>
      <c r="X100" s="302"/>
      <c r="Y100" s="304"/>
      <c r="Z100" s="302"/>
      <c r="AA100" s="304"/>
      <c r="AB100" s="302"/>
      <c r="AC100" s="304"/>
      <c r="AD100" s="7"/>
      <c r="AE100" s="7"/>
      <c r="AF100" s="7"/>
    </row>
    <row r="101" ht="15.75" customHeight="1">
      <c r="A101" s="254">
        <v>15</v>
      </c>
      <c r="B101" t="s" s="295">
        <v>557</v>
      </c>
      <c r="C101" s="296"/>
      <c r="D101" s="296"/>
      <c r="E101" t="s" s="285">
        <v>5</v>
      </c>
      <c r="F101" t="s" s="285">
        <v>6</v>
      </c>
      <c r="G101" s="16">
        <v>1206</v>
      </c>
      <c r="H101" t="s" s="285">
        <v>6</v>
      </c>
      <c r="I101" s="18"/>
      <c r="J101" t="s" s="285">
        <v>6</v>
      </c>
      <c r="K101" s="18"/>
      <c r="L101" t="s" s="285">
        <v>6</v>
      </c>
      <c r="M101" s="18"/>
      <c r="N101" t="s" s="285">
        <v>6</v>
      </c>
      <c r="O101" s="18"/>
      <c r="P101" t="s" s="285">
        <v>6</v>
      </c>
      <c r="Q101" s="18"/>
      <c r="R101" t="s" s="285">
        <v>6</v>
      </c>
      <c r="S101" s="18"/>
      <c r="T101" t="s" s="285">
        <v>6</v>
      </c>
      <c r="U101" s="18"/>
      <c r="V101" t="s" s="285">
        <v>6</v>
      </c>
      <c r="W101" s="18"/>
      <c r="X101" t="s" s="285">
        <v>6</v>
      </c>
      <c r="Y101" s="18"/>
      <c r="Z101" t="s" s="285">
        <v>6</v>
      </c>
      <c r="AA101" s="18"/>
      <c r="AB101" t="s" s="285">
        <v>6</v>
      </c>
      <c r="AC101" s="18"/>
      <c r="AD101" s="71"/>
      <c r="AE101" s="7"/>
      <c r="AF101" s="7"/>
    </row>
    <row r="102" ht="13.55" customHeight="1">
      <c r="A102" s="255"/>
      <c r="B102" s="170"/>
      <c r="C102" s="9"/>
      <c r="D102" s="27"/>
      <c r="E102" s="9"/>
      <c r="F102" t="s" s="8">
        <v>8</v>
      </c>
      <c r="G102" s="26">
        <v>600</v>
      </c>
      <c r="H102" t="s" s="8">
        <v>8</v>
      </c>
      <c r="I102" s="27"/>
      <c r="J102" t="s" s="8">
        <v>8</v>
      </c>
      <c r="K102" s="27"/>
      <c r="L102" t="s" s="8">
        <v>8</v>
      </c>
      <c r="M102" s="27"/>
      <c r="N102" t="s" s="8">
        <v>8</v>
      </c>
      <c r="O102" s="27"/>
      <c r="P102" t="s" s="8">
        <v>8</v>
      </c>
      <c r="Q102" s="27"/>
      <c r="R102" t="s" s="8">
        <v>8</v>
      </c>
      <c r="S102" s="27"/>
      <c r="T102" t="s" s="8">
        <v>8</v>
      </c>
      <c r="U102" s="27"/>
      <c r="V102" t="s" s="8">
        <v>8</v>
      </c>
      <c r="W102" s="27"/>
      <c r="X102" t="s" s="8">
        <v>8</v>
      </c>
      <c r="Y102" s="27"/>
      <c r="Z102" t="s" s="8">
        <v>8</v>
      </c>
      <c r="AA102" s="27"/>
      <c r="AB102" t="s" s="8">
        <v>8</v>
      </c>
      <c r="AC102" s="27"/>
      <c r="AD102" s="182" cm="1">
        <f t="array" ref="AD102">G102+I102+K102+M102+O102+Q102+S102+U102+W102+Y102+AA102+AC102</f>
        <v>600</v>
      </c>
      <c r="AE102" s="183" cm="1">
        <f t="array" ref="AE102">550*12</f>
        <v>6600</v>
      </c>
      <c r="AF102" s="51" cm="1">
        <f t="array" ref="AF102">AE102-AD102</f>
        <v>6000</v>
      </c>
    </row>
    <row r="103" ht="15.75" customHeight="1">
      <c r="A103" s="255"/>
      <c r="B103" t="s" s="87">
        <v>69</v>
      </c>
      <c r="C103" t="s" s="8">
        <v>9</v>
      </c>
      <c r="D103" s="26">
        <v>1000</v>
      </c>
      <c r="E103" s="9"/>
      <c r="F103" t="s" s="8">
        <v>10</v>
      </c>
      <c r="G103" t="s" s="33">
        <v>126</v>
      </c>
      <c r="H103" t="s" s="8">
        <v>10</v>
      </c>
      <c r="I103" s="34"/>
      <c r="J103" t="s" s="8">
        <v>10</v>
      </c>
      <c r="K103" s="34"/>
      <c r="L103" t="s" s="8">
        <v>10</v>
      </c>
      <c r="M103" s="34"/>
      <c r="N103" t="s" s="8">
        <v>10</v>
      </c>
      <c r="O103" s="34"/>
      <c r="P103" t="s" s="8">
        <v>10</v>
      </c>
      <c r="Q103" s="34"/>
      <c r="R103" t="s" s="8">
        <v>10</v>
      </c>
      <c r="S103" s="34"/>
      <c r="T103" t="s" s="8">
        <v>10</v>
      </c>
      <c r="U103" s="34"/>
      <c r="V103" t="s" s="8">
        <v>10</v>
      </c>
      <c r="W103" s="34"/>
      <c r="X103" t="s" s="298">
        <v>10</v>
      </c>
      <c r="Y103" s="34"/>
      <c r="Z103" t="s" s="298">
        <v>10</v>
      </c>
      <c r="AA103" s="34"/>
      <c r="AB103" t="s" s="298">
        <v>10</v>
      </c>
      <c r="AC103" s="34"/>
      <c r="AD103" s="180"/>
      <c r="AE103" s="177"/>
      <c r="AF103" s="7"/>
    </row>
    <row r="104" ht="15.75" customHeight="1">
      <c r="A104" s="255"/>
      <c r="B104" t="s" s="8">
        <v>558</v>
      </c>
      <c r="C104" s="9"/>
      <c r="D104" s="9"/>
      <c r="E104" t="s" s="8">
        <v>14</v>
      </c>
      <c r="F104" t="s" s="8">
        <v>6</v>
      </c>
      <c r="G104" s="16">
        <v>2115</v>
      </c>
      <c r="H104" t="s" s="8">
        <v>6</v>
      </c>
      <c r="I104" s="18"/>
      <c r="J104" t="s" s="8">
        <v>6</v>
      </c>
      <c r="K104" s="299"/>
      <c r="L104" t="s" s="8">
        <v>6</v>
      </c>
      <c r="M104" s="18"/>
      <c r="N104" t="s" s="8">
        <v>6</v>
      </c>
      <c r="O104" s="18"/>
      <c r="P104" t="s" s="8">
        <v>6</v>
      </c>
      <c r="Q104" s="18"/>
      <c r="R104" t="s" s="8">
        <v>6</v>
      </c>
      <c r="S104" s="18"/>
      <c r="T104" t="s" s="8">
        <v>6</v>
      </c>
      <c r="U104" s="18"/>
      <c r="V104" t="s" s="8">
        <v>6</v>
      </c>
      <c r="W104" s="18"/>
      <c r="X104" t="s" s="285">
        <v>6</v>
      </c>
      <c r="Y104" s="18"/>
      <c r="Z104" t="s" s="285">
        <v>6</v>
      </c>
      <c r="AA104" s="18"/>
      <c r="AB104" t="s" s="285">
        <v>6</v>
      </c>
      <c r="AC104" s="18"/>
      <c r="AD104" s="180"/>
      <c r="AE104" s="177"/>
      <c r="AF104" s="7"/>
    </row>
    <row r="105" ht="13.55" customHeight="1">
      <c r="A105" s="255"/>
      <c r="B105" t="s" s="8">
        <v>559</v>
      </c>
      <c r="C105" s="9"/>
      <c r="D105" s="9"/>
      <c r="E105" s="9"/>
      <c r="F105" t="s" s="8">
        <v>8</v>
      </c>
      <c r="G105" s="26">
        <v>600</v>
      </c>
      <c r="H105" t="s" s="8">
        <v>8</v>
      </c>
      <c r="I105" s="27"/>
      <c r="J105" t="s" s="8">
        <v>8</v>
      </c>
      <c r="K105" s="253"/>
      <c r="L105" t="s" s="8">
        <v>8</v>
      </c>
      <c r="M105" s="27"/>
      <c r="N105" t="s" s="8">
        <v>8</v>
      </c>
      <c r="O105" s="27"/>
      <c r="P105" t="s" s="8">
        <v>8</v>
      </c>
      <c r="Q105" s="27"/>
      <c r="R105" t="s" s="8">
        <v>8</v>
      </c>
      <c r="S105" s="27"/>
      <c r="T105" t="s" s="8">
        <v>8</v>
      </c>
      <c r="U105" s="27"/>
      <c r="V105" t="s" s="8">
        <v>8</v>
      </c>
      <c r="W105" s="27"/>
      <c r="X105" t="s" s="8">
        <v>8</v>
      </c>
      <c r="Y105" s="27"/>
      <c r="Z105" t="s" s="8">
        <v>8</v>
      </c>
      <c r="AA105" s="27"/>
      <c r="AB105" t="s" s="8">
        <v>8</v>
      </c>
      <c r="AC105" s="27"/>
      <c r="AD105" s="182" cm="1">
        <f t="array" ref="AD105">G105+I105+K105+M105+O105+Q105+S105+U105+W105+Y105+AA105+AC105</f>
        <v>600</v>
      </c>
      <c r="AE105" s="183" cm="1">
        <f t="array" ref="AE105">500*11</f>
        <v>5500</v>
      </c>
      <c r="AF105" s="51" cm="1">
        <f t="array" ref="AF105">AE105-AD105</f>
        <v>4900</v>
      </c>
    </row>
    <row r="106" ht="13.55" customHeight="1">
      <c r="A106" s="255"/>
      <c r="B106" s="300"/>
      <c r="C106" s="9"/>
      <c r="D106" s="9"/>
      <c r="E106" s="9"/>
      <c r="F106" t="s" s="8">
        <v>10</v>
      </c>
      <c r="G106" t="s" s="33">
        <v>126</v>
      </c>
      <c r="H106" t="s" s="8">
        <v>10</v>
      </c>
      <c r="I106" s="34"/>
      <c r="J106" t="s" s="8">
        <v>10</v>
      </c>
      <c r="K106" s="23"/>
      <c r="L106" t="s" s="8">
        <v>10</v>
      </c>
      <c r="M106" s="34"/>
      <c r="N106" t="s" s="8">
        <v>10</v>
      </c>
      <c r="O106" s="34"/>
      <c r="P106" t="s" s="8">
        <v>10</v>
      </c>
      <c r="Q106" s="34"/>
      <c r="R106" t="s" s="8">
        <v>10</v>
      </c>
      <c r="S106" s="34"/>
      <c r="T106" t="s" s="8">
        <v>10</v>
      </c>
      <c r="U106" s="34"/>
      <c r="V106" t="s" s="8">
        <v>10</v>
      </c>
      <c r="W106" s="34"/>
      <c r="X106" t="s" s="8">
        <v>10</v>
      </c>
      <c r="Y106" s="34"/>
      <c r="Z106" t="s" s="8">
        <v>10</v>
      </c>
      <c r="AA106" s="34"/>
      <c r="AB106" t="s" s="8">
        <v>10</v>
      </c>
      <c r="AC106" s="34"/>
      <c r="AD106" s="72"/>
      <c r="AE106" s="7"/>
      <c r="AF106" s="7"/>
    </row>
    <row r="107" ht="15.75" customHeight="1">
      <c r="A107" s="253"/>
      <c r="B107" s="301"/>
      <c r="C107" s="302"/>
      <c r="D107" s="302"/>
      <c r="E107" s="302"/>
      <c r="F107" s="302"/>
      <c r="G107" s="303"/>
      <c r="H107" s="304"/>
      <c r="I107" s="303"/>
      <c r="J107" s="304"/>
      <c r="K107" s="303"/>
      <c r="L107" s="302"/>
      <c r="M107" s="303"/>
      <c r="N107" s="304"/>
      <c r="O107" s="303"/>
      <c r="P107" s="304"/>
      <c r="Q107" s="303"/>
      <c r="R107" s="302"/>
      <c r="S107" s="304"/>
      <c r="T107" s="302"/>
      <c r="U107" s="304"/>
      <c r="V107" s="302"/>
      <c r="W107" s="304"/>
      <c r="X107" s="304"/>
      <c r="Y107" s="304"/>
      <c r="Z107" s="304"/>
      <c r="AA107" s="304"/>
      <c r="AB107" s="304"/>
      <c r="AC107" s="304"/>
      <c r="AD107" s="7"/>
      <c r="AE107" s="7"/>
      <c r="AF107" s="7"/>
    </row>
    <row r="108" ht="15.75" customHeight="1">
      <c r="A108" s="254">
        <v>16</v>
      </c>
      <c r="B108" t="s" s="295">
        <v>560</v>
      </c>
      <c r="C108" s="296"/>
      <c r="D108" s="296"/>
      <c r="E108" t="s" s="285">
        <v>5</v>
      </c>
      <c r="F108" t="s" s="285">
        <v>6</v>
      </c>
      <c r="G108" s="16">
        <v>3246</v>
      </c>
      <c r="H108" t="s" s="8">
        <v>6</v>
      </c>
      <c r="I108" s="16">
        <v>3246</v>
      </c>
      <c r="J108" t="s" s="8">
        <v>6</v>
      </c>
      <c r="K108" s="18"/>
      <c r="L108" t="s" s="285">
        <v>6</v>
      </c>
      <c r="M108" s="18"/>
      <c r="N108" t="s" s="8">
        <v>6</v>
      </c>
      <c r="O108" s="18"/>
      <c r="P108" t="s" s="8">
        <v>6</v>
      </c>
      <c r="Q108" s="18"/>
      <c r="R108" t="s" s="285">
        <v>6</v>
      </c>
      <c r="S108" s="18"/>
      <c r="T108" t="s" s="285">
        <v>6</v>
      </c>
      <c r="U108" s="18"/>
      <c r="V108" t="s" s="285">
        <v>6</v>
      </c>
      <c r="W108" s="18"/>
      <c r="X108" t="s" s="8">
        <v>6</v>
      </c>
      <c r="Y108" s="18"/>
      <c r="Z108" t="s" s="8">
        <v>6</v>
      </c>
      <c r="AA108" s="18"/>
      <c r="AB108" t="s" s="8">
        <v>6</v>
      </c>
      <c r="AC108" s="18"/>
      <c r="AD108" s="71"/>
      <c r="AE108" s="7"/>
      <c r="AF108" s="7"/>
    </row>
    <row r="109" ht="13.55" customHeight="1">
      <c r="A109" s="255"/>
      <c r="B109" s="27"/>
      <c r="C109" s="9"/>
      <c r="D109" s="27"/>
      <c r="E109" s="9"/>
      <c r="F109" t="s" s="8">
        <v>8</v>
      </c>
      <c r="G109" s="26">
        <v>1200</v>
      </c>
      <c r="H109" t="s" s="8">
        <v>8</v>
      </c>
      <c r="I109" s="26">
        <v>1200</v>
      </c>
      <c r="J109" t="s" s="8">
        <v>8</v>
      </c>
      <c r="K109" s="27"/>
      <c r="L109" t="s" s="8">
        <v>8</v>
      </c>
      <c r="M109" s="27"/>
      <c r="N109" t="s" s="8">
        <v>8</v>
      </c>
      <c r="O109" s="27"/>
      <c r="P109" t="s" s="8">
        <v>8</v>
      </c>
      <c r="Q109" s="27"/>
      <c r="R109" t="s" s="8">
        <v>8</v>
      </c>
      <c r="S109" s="27"/>
      <c r="T109" t="s" s="8">
        <v>8</v>
      </c>
      <c r="U109" s="27"/>
      <c r="V109" t="s" s="8">
        <v>8</v>
      </c>
      <c r="W109" s="27"/>
      <c r="X109" t="s" s="8">
        <v>8</v>
      </c>
      <c r="Y109" s="27"/>
      <c r="Z109" t="s" s="8">
        <v>8</v>
      </c>
      <c r="AA109" s="27"/>
      <c r="AB109" t="s" s="8">
        <v>8</v>
      </c>
      <c r="AC109" s="27"/>
      <c r="AD109" s="182" cm="1">
        <f t="array" ref="AD109">G109+I109+K109+M109+O109+Q109+S109+U109+W109+Y109+AA109+AC109</f>
        <v>2400</v>
      </c>
      <c r="AE109" s="183" cm="1">
        <f t="array" ref="AE109">1100*12</f>
        <v>13200</v>
      </c>
      <c r="AF109" s="51" cm="1">
        <f t="array" ref="AF109">AE109-AD109</f>
        <v>10800</v>
      </c>
    </row>
    <row r="110" ht="13.55" customHeight="1">
      <c r="A110" s="255"/>
      <c r="B110" s="27"/>
      <c r="C110" t="s" s="8">
        <v>9</v>
      </c>
      <c r="D110" s="26">
        <v>1000</v>
      </c>
      <c r="E110" s="9"/>
      <c r="F110" t="s" s="8">
        <v>10</v>
      </c>
      <c r="G110" t="s" s="33">
        <v>64</v>
      </c>
      <c r="H110" t="s" s="8">
        <v>10</v>
      </c>
      <c r="I110" t="s" s="33">
        <v>64</v>
      </c>
      <c r="J110" t="s" s="8">
        <v>10</v>
      </c>
      <c r="K110" s="34"/>
      <c r="L110" t="s" s="8">
        <v>10</v>
      </c>
      <c r="M110" s="34"/>
      <c r="N110" t="s" s="8">
        <v>10</v>
      </c>
      <c r="O110" s="34"/>
      <c r="P110" t="s" s="8">
        <v>10</v>
      </c>
      <c r="Q110" s="34"/>
      <c r="R110" t="s" s="8">
        <v>10</v>
      </c>
      <c r="S110" s="34"/>
      <c r="T110" t="s" s="8">
        <v>10</v>
      </c>
      <c r="U110" s="34"/>
      <c r="V110" t="s" s="8">
        <v>10</v>
      </c>
      <c r="W110" s="34"/>
      <c r="X110" t="s" s="8">
        <v>10</v>
      </c>
      <c r="Y110" s="34"/>
      <c r="Z110" t="s" s="8">
        <v>10</v>
      </c>
      <c r="AA110" s="34"/>
      <c r="AB110" t="s" s="8">
        <v>10</v>
      </c>
      <c r="AC110" s="34"/>
      <c r="AD110" s="180"/>
      <c r="AE110" s="177"/>
      <c r="AF110" s="7"/>
    </row>
    <row r="111" ht="13.75" customHeight="1">
      <c r="A111" s="255"/>
      <c r="B111" t="s" s="8">
        <v>561</v>
      </c>
      <c r="C111" s="9"/>
      <c r="D111" s="9"/>
      <c r="E111" t="s" s="8">
        <v>14</v>
      </c>
      <c r="F111" t="s" s="8">
        <v>6</v>
      </c>
      <c r="G111" s="16">
        <v>2212</v>
      </c>
      <c r="H111" t="s" s="8">
        <v>6</v>
      </c>
      <c r="I111" s="16">
        <v>2212</v>
      </c>
      <c r="J111" t="s" s="8">
        <v>6</v>
      </c>
      <c r="K111" s="299"/>
      <c r="L111" t="s" s="8">
        <v>6</v>
      </c>
      <c r="M111" s="18"/>
      <c r="N111" t="s" s="8">
        <v>6</v>
      </c>
      <c r="O111" s="18"/>
      <c r="P111" t="s" s="8">
        <v>6</v>
      </c>
      <c r="Q111" s="18"/>
      <c r="R111" t="s" s="8">
        <v>6</v>
      </c>
      <c r="S111" s="18"/>
      <c r="T111" t="s" s="8">
        <v>6</v>
      </c>
      <c r="U111" s="18"/>
      <c r="V111" t="s" s="8">
        <v>6</v>
      </c>
      <c r="W111" s="18"/>
      <c r="X111" t="s" s="8">
        <v>6</v>
      </c>
      <c r="Y111" s="18"/>
      <c r="Z111" t="s" s="8">
        <v>6</v>
      </c>
      <c r="AA111" s="18"/>
      <c r="AB111" t="s" s="8">
        <v>6</v>
      </c>
      <c r="AC111" s="18"/>
      <c r="AD111" s="180"/>
      <c r="AE111" s="177"/>
      <c r="AF111" s="7"/>
    </row>
    <row r="112" ht="13.55" customHeight="1">
      <c r="A112" s="255"/>
      <c r="B112" t="s" s="8">
        <v>562</v>
      </c>
      <c r="C112" s="9"/>
      <c r="D112" s="9"/>
      <c r="E112" s="9"/>
      <c r="F112" t="s" s="8">
        <v>8</v>
      </c>
      <c r="G112" s="26">
        <v>1000</v>
      </c>
      <c r="H112" t="s" s="8">
        <v>8</v>
      </c>
      <c r="I112" s="26">
        <v>1000</v>
      </c>
      <c r="J112" t="s" s="8">
        <v>8</v>
      </c>
      <c r="K112" s="253"/>
      <c r="L112" t="s" s="8">
        <v>8</v>
      </c>
      <c r="M112" s="27"/>
      <c r="N112" t="s" s="8">
        <v>8</v>
      </c>
      <c r="O112" s="27"/>
      <c r="P112" t="s" s="8">
        <v>8</v>
      </c>
      <c r="Q112" s="27"/>
      <c r="R112" t="s" s="8">
        <v>8</v>
      </c>
      <c r="S112" s="27"/>
      <c r="T112" t="s" s="8">
        <v>8</v>
      </c>
      <c r="U112" s="27"/>
      <c r="V112" t="s" s="8">
        <v>8</v>
      </c>
      <c r="W112" s="27"/>
      <c r="X112" t="s" s="8">
        <v>8</v>
      </c>
      <c r="Y112" s="27"/>
      <c r="Z112" t="s" s="8">
        <v>8</v>
      </c>
      <c r="AA112" s="27"/>
      <c r="AB112" t="s" s="8">
        <v>8</v>
      </c>
      <c r="AC112" s="27"/>
      <c r="AD112" s="182" cm="1">
        <f t="array" ref="AD112">G112+I112+K112+M112+O112+Q112+S112+U112+W112+Y112+AA112+AC112</f>
        <v>2000</v>
      </c>
      <c r="AE112" s="183" cm="1">
        <f t="array" ref="AE112">900*11</f>
        <v>9900</v>
      </c>
      <c r="AF112" s="51" cm="1">
        <f t="array" ref="AF112">AE112-AD112</f>
        <v>7900</v>
      </c>
    </row>
    <row r="113" ht="13.55" customHeight="1">
      <c r="A113" s="255"/>
      <c r="B113" s="300"/>
      <c r="C113" s="9"/>
      <c r="D113" s="9"/>
      <c r="E113" s="9"/>
      <c r="F113" t="s" s="8">
        <v>10</v>
      </c>
      <c r="G113" t="s" s="33">
        <v>64</v>
      </c>
      <c r="H113" t="s" s="8">
        <v>10</v>
      </c>
      <c r="I113" t="s" s="33">
        <v>64</v>
      </c>
      <c r="J113" t="s" s="8">
        <v>10</v>
      </c>
      <c r="K113" s="23"/>
      <c r="L113" t="s" s="8">
        <v>10</v>
      </c>
      <c r="M113" s="34"/>
      <c r="N113" t="s" s="8">
        <v>10</v>
      </c>
      <c r="O113" s="34"/>
      <c r="P113" t="s" s="8">
        <v>10</v>
      </c>
      <c r="Q113" s="34"/>
      <c r="R113" t="s" s="8">
        <v>10</v>
      </c>
      <c r="S113" s="34"/>
      <c r="T113" t="s" s="8">
        <v>10</v>
      </c>
      <c r="U113" s="34"/>
      <c r="V113" t="s" s="8">
        <v>10</v>
      </c>
      <c r="W113" s="34"/>
      <c r="X113" t="s" s="8">
        <v>10</v>
      </c>
      <c r="Y113" s="34"/>
      <c r="Z113" t="s" s="8">
        <v>10</v>
      </c>
      <c r="AA113" s="34"/>
      <c r="AB113" t="s" s="8">
        <v>10</v>
      </c>
      <c r="AC113" s="34"/>
      <c r="AD113" s="72"/>
      <c r="AE113" s="7"/>
      <c r="AF113" s="7"/>
    </row>
    <row r="114" ht="15.75" customHeight="1">
      <c r="A114" s="253"/>
      <c r="B114" s="301"/>
      <c r="C114" s="302"/>
      <c r="D114" s="302"/>
      <c r="E114" s="302"/>
      <c r="F114" s="302"/>
      <c r="G114" s="303"/>
      <c r="H114" s="302"/>
      <c r="I114" s="303"/>
      <c r="J114" s="302"/>
      <c r="K114" s="303"/>
      <c r="L114" s="302"/>
      <c r="M114" s="303"/>
      <c r="N114" s="302"/>
      <c r="O114" s="303"/>
      <c r="P114" s="304"/>
      <c r="Q114" s="303"/>
      <c r="R114" s="302"/>
      <c r="S114" s="304"/>
      <c r="T114" s="302"/>
      <c r="U114" s="304"/>
      <c r="V114" s="302"/>
      <c r="W114" s="304"/>
      <c r="X114" s="304"/>
      <c r="Y114" s="304"/>
      <c r="Z114" s="304"/>
      <c r="AA114" s="304"/>
      <c r="AB114" s="304"/>
      <c r="AC114" s="304"/>
      <c r="AD114" s="7"/>
      <c r="AE114" s="7"/>
      <c r="AF114" s="7"/>
    </row>
    <row r="115" ht="15.75" customHeight="1">
      <c r="A115" s="254">
        <v>17</v>
      </c>
      <c r="B115" t="s" s="295">
        <v>563</v>
      </c>
      <c r="C115" s="296"/>
      <c r="D115" s="296"/>
      <c r="E115" t="s" s="285">
        <v>5</v>
      </c>
      <c r="F115" t="s" s="285">
        <v>6</v>
      </c>
      <c r="G115" s="16">
        <v>1247</v>
      </c>
      <c r="H115" t="s" s="285">
        <v>6</v>
      </c>
      <c r="I115" s="18"/>
      <c r="J115" t="s" s="285">
        <v>6</v>
      </c>
      <c r="K115" s="18"/>
      <c r="L115" t="s" s="285">
        <v>6</v>
      </c>
      <c r="M115" s="18"/>
      <c r="N115" t="s" s="285">
        <v>6</v>
      </c>
      <c r="O115" s="18"/>
      <c r="P115" t="s" s="8">
        <v>6</v>
      </c>
      <c r="Q115" s="18"/>
      <c r="R115" t="s" s="285">
        <v>6</v>
      </c>
      <c r="S115" s="18"/>
      <c r="T115" t="s" s="285">
        <v>6</v>
      </c>
      <c r="U115" s="18"/>
      <c r="V115" t="s" s="285">
        <v>6</v>
      </c>
      <c r="W115" s="18"/>
      <c r="X115" t="s" s="8">
        <v>6</v>
      </c>
      <c r="Y115" s="18"/>
      <c r="Z115" t="s" s="8">
        <v>6</v>
      </c>
      <c r="AA115" s="18"/>
      <c r="AB115" t="s" s="8">
        <v>6</v>
      </c>
      <c r="AC115" s="18"/>
      <c r="AD115" s="71"/>
      <c r="AE115" s="7"/>
      <c r="AF115" s="7"/>
    </row>
    <row r="116" ht="13.55" customHeight="1">
      <c r="A116" s="255"/>
      <c r="B116" s="27"/>
      <c r="C116" s="9"/>
      <c r="D116" s="27"/>
      <c r="E116" s="9"/>
      <c r="F116" t="s" s="8">
        <v>8</v>
      </c>
      <c r="G116" s="26">
        <v>1200</v>
      </c>
      <c r="H116" t="s" s="8">
        <v>8</v>
      </c>
      <c r="I116" s="27"/>
      <c r="J116" t="s" s="8">
        <v>8</v>
      </c>
      <c r="K116" s="27"/>
      <c r="L116" t="s" s="8">
        <v>8</v>
      </c>
      <c r="M116" s="27"/>
      <c r="N116" t="s" s="8">
        <v>8</v>
      </c>
      <c r="O116" s="27"/>
      <c r="P116" t="s" s="8">
        <v>8</v>
      </c>
      <c r="Q116" s="27"/>
      <c r="R116" t="s" s="8">
        <v>8</v>
      </c>
      <c r="S116" s="27"/>
      <c r="T116" t="s" s="8">
        <v>8</v>
      </c>
      <c r="U116" s="27"/>
      <c r="V116" t="s" s="8">
        <v>8</v>
      </c>
      <c r="W116" s="27"/>
      <c r="X116" t="s" s="8">
        <v>8</v>
      </c>
      <c r="Y116" s="27"/>
      <c r="Z116" t="s" s="8">
        <v>8</v>
      </c>
      <c r="AA116" s="27"/>
      <c r="AB116" t="s" s="8">
        <v>8</v>
      </c>
      <c r="AC116" s="27"/>
      <c r="AD116" s="182" cm="1">
        <f t="array" ref="AD116">G116+I116+K116+M116+O116+Q116+S116+U116+W116+Y116+AA116+AC116</f>
        <v>1200</v>
      </c>
      <c r="AE116" s="183" cm="1">
        <f t="array" ref="AE116">1100*12</f>
        <v>13200</v>
      </c>
      <c r="AF116" s="51" cm="1">
        <f t="array" ref="AF116">AE116-AD116</f>
        <v>12000</v>
      </c>
    </row>
    <row r="117" ht="13.55" customHeight="1">
      <c r="A117" s="255"/>
      <c r="B117" s="27"/>
      <c r="C117" t="s" s="8">
        <v>9</v>
      </c>
      <c r="D117" s="26">
        <v>1000</v>
      </c>
      <c r="E117" s="9"/>
      <c r="F117" t="s" s="8">
        <v>10</v>
      </c>
      <c r="G117" t="s" s="33">
        <v>12</v>
      </c>
      <c r="H117" t="s" s="8">
        <v>10</v>
      </c>
      <c r="I117" s="34"/>
      <c r="J117" t="s" s="8">
        <v>10</v>
      </c>
      <c r="K117" s="34"/>
      <c r="L117" t="s" s="8">
        <v>10</v>
      </c>
      <c r="M117" s="34"/>
      <c r="N117" t="s" s="8">
        <v>10</v>
      </c>
      <c r="O117" s="34"/>
      <c r="P117" t="s" s="8">
        <v>10</v>
      </c>
      <c r="Q117" s="34"/>
      <c r="R117" t="s" s="8">
        <v>10</v>
      </c>
      <c r="S117" s="34"/>
      <c r="T117" t="s" s="8">
        <v>10</v>
      </c>
      <c r="U117" s="34"/>
      <c r="V117" t="s" s="8">
        <v>10</v>
      </c>
      <c r="W117" s="34"/>
      <c r="X117" t="s" s="8">
        <v>10</v>
      </c>
      <c r="Y117" s="34"/>
      <c r="Z117" t="s" s="8">
        <v>10</v>
      </c>
      <c r="AA117" s="34"/>
      <c r="AB117" t="s" s="8">
        <v>10</v>
      </c>
      <c r="AC117" s="34"/>
      <c r="AD117" s="180"/>
      <c r="AE117" s="177"/>
      <c r="AF117" s="7"/>
    </row>
    <row r="118" ht="13.75" customHeight="1">
      <c r="A118" s="255"/>
      <c r="B118" t="s" s="8">
        <v>564</v>
      </c>
      <c r="C118" s="9"/>
      <c r="D118" s="9"/>
      <c r="E118" t="s" s="8">
        <v>14</v>
      </c>
      <c r="F118" t="s" s="8">
        <v>6</v>
      </c>
      <c r="G118" s="18"/>
      <c r="H118" t="s" s="8">
        <v>6</v>
      </c>
      <c r="I118" s="16">
        <v>2138</v>
      </c>
      <c r="J118" t="s" s="8">
        <v>6</v>
      </c>
      <c r="K118" s="18"/>
      <c r="L118" t="s" s="8">
        <v>6</v>
      </c>
      <c r="M118" s="18"/>
      <c r="N118" t="s" s="8">
        <v>6</v>
      </c>
      <c r="O118" s="18"/>
      <c r="P118" t="s" s="8">
        <v>6</v>
      </c>
      <c r="Q118" s="18"/>
      <c r="R118" t="s" s="8">
        <v>6</v>
      </c>
      <c r="S118" s="18"/>
      <c r="T118" t="s" s="8">
        <v>6</v>
      </c>
      <c r="U118" s="18"/>
      <c r="V118" t="s" s="8">
        <v>6</v>
      </c>
      <c r="W118" s="18"/>
      <c r="X118" t="s" s="8">
        <v>6</v>
      </c>
      <c r="Y118" s="18"/>
      <c r="Z118" t="s" s="8">
        <v>6</v>
      </c>
      <c r="AA118" s="18"/>
      <c r="AB118" t="s" s="8">
        <v>6</v>
      </c>
      <c r="AC118" s="18"/>
      <c r="AD118" s="180"/>
      <c r="AE118" s="177"/>
      <c r="AF118" s="7"/>
    </row>
    <row r="119" ht="13.55" customHeight="1">
      <c r="A119" s="255"/>
      <c r="B119" t="s" s="8">
        <v>565</v>
      </c>
      <c r="C119" s="9"/>
      <c r="D119" s="9"/>
      <c r="E119" s="9"/>
      <c r="F119" t="s" s="8">
        <v>8</v>
      </c>
      <c r="G119" s="27"/>
      <c r="H119" t="s" s="8">
        <v>8</v>
      </c>
      <c r="I119" s="26">
        <v>600</v>
      </c>
      <c r="J119" t="s" s="8">
        <v>8</v>
      </c>
      <c r="K119" s="27"/>
      <c r="L119" t="s" s="8">
        <v>8</v>
      </c>
      <c r="M119" s="27"/>
      <c r="N119" t="s" s="8">
        <v>8</v>
      </c>
      <c r="O119" s="27"/>
      <c r="P119" t="s" s="8">
        <v>8</v>
      </c>
      <c r="Q119" s="27"/>
      <c r="R119" t="s" s="8">
        <v>8</v>
      </c>
      <c r="S119" s="27"/>
      <c r="T119" t="s" s="8">
        <v>8</v>
      </c>
      <c r="U119" s="27"/>
      <c r="V119" t="s" s="8">
        <v>8</v>
      </c>
      <c r="W119" s="27"/>
      <c r="X119" t="s" s="8">
        <v>8</v>
      </c>
      <c r="Y119" s="27"/>
      <c r="Z119" t="s" s="8">
        <v>8</v>
      </c>
      <c r="AA119" s="27"/>
      <c r="AB119" t="s" s="8">
        <v>8</v>
      </c>
      <c r="AC119" s="27"/>
      <c r="AD119" s="182" cm="1">
        <f t="array" ref="AD119">G119+I119+K119+M119+O119+Q119+S119+U119+W119+Y119+AA119+AC119</f>
        <v>600</v>
      </c>
      <c r="AE119" s="183" cm="1">
        <f t="array" ref="AE119">500*11</f>
        <v>5500</v>
      </c>
      <c r="AF119" s="51" cm="1">
        <f t="array" ref="AF119">AE119-AD119</f>
        <v>4900</v>
      </c>
    </row>
    <row r="120" ht="13.55" customHeight="1">
      <c r="A120" s="255"/>
      <c r="B120" s="300"/>
      <c r="C120" s="9"/>
      <c r="D120" s="9"/>
      <c r="E120" s="9"/>
      <c r="F120" t="s" s="8">
        <v>10</v>
      </c>
      <c r="G120" s="34"/>
      <c r="H120" t="s" s="8">
        <v>10</v>
      </c>
      <c r="I120" t="s" s="33">
        <v>323</v>
      </c>
      <c r="J120" t="s" s="8">
        <v>10</v>
      </c>
      <c r="K120" s="34"/>
      <c r="L120" t="s" s="8">
        <v>10</v>
      </c>
      <c r="M120" s="34"/>
      <c r="N120" t="s" s="8">
        <v>10</v>
      </c>
      <c r="O120" s="34"/>
      <c r="P120" t="s" s="8">
        <v>10</v>
      </c>
      <c r="Q120" s="34"/>
      <c r="R120" t="s" s="8">
        <v>10</v>
      </c>
      <c r="S120" s="34"/>
      <c r="T120" t="s" s="8">
        <v>10</v>
      </c>
      <c r="U120" s="34"/>
      <c r="V120" t="s" s="8">
        <v>10</v>
      </c>
      <c r="W120" s="34"/>
      <c r="X120" t="s" s="8">
        <v>10</v>
      </c>
      <c r="Y120" s="34"/>
      <c r="Z120" t="s" s="8">
        <v>10</v>
      </c>
      <c r="AA120" s="34"/>
      <c r="AB120" t="s" s="8">
        <v>10</v>
      </c>
      <c r="AC120" s="34"/>
      <c r="AD120" s="72"/>
      <c r="AE120" s="7"/>
      <c r="AF120" s="7"/>
    </row>
    <row r="121" ht="15.75" customHeight="1">
      <c r="A121" s="112"/>
      <c r="B121" s="305"/>
      <c r="C121" s="306"/>
      <c r="D121" s="306"/>
      <c r="E121" s="302"/>
      <c r="F121" s="302"/>
      <c r="G121" s="303"/>
      <c r="H121" s="302"/>
      <c r="I121" s="303"/>
      <c r="J121" s="302"/>
      <c r="K121" s="303"/>
      <c r="L121" s="302"/>
      <c r="M121" s="303"/>
      <c r="N121" s="302"/>
      <c r="O121" s="303"/>
      <c r="P121" s="304"/>
      <c r="Q121" s="303"/>
      <c r="R121" s="302"/>
      <c r="S121" s="304"/>
      <c r="T121" s="302"/>
      <c r="U121" s="304"/>
      <c r="V121" s="302"/>
      <c r="W121" s="304"/>
      <c r="X121" s="304"/>
      <c r="Y121" s="304"/>
      <c r="Z121" s="304"/>
      <c r="AA121" s="304"/>
      <c r="AB121" s="304"/>
      <c r="AC121" s="304"/>
      <c r="AD121" s="7"/>
      <c r="AE121" s="7"/>
      <c r="AF121" s="7"/>
    </row>
    <row r="122" ht="15.75" customHeight="1">
      <c r="A122" s="254">
        <v>18</v>
      </c>
      <c r="B122" t="s" s="295">
        <v>566</v>
      </c>
      <c r="C122" s="296"/>
      <c r="D122" s="296"/>
      <c r="E122" t="s" s="285">
        <v>5</v>
      </c>
      <c r="F122" t="s" s="285">
        <v>6</v>
      </c>
      <c r="G122" s="16">
        <v>1157</v>
      </c>
      <c r="H122" t="s" s="285">
        <v>6</v>
      </c>
      <c r="I122" s="16">
        <v>3253</v>
      </c>
      <c r="J122" t="s" s="285">
        <v>6</v>
      </c>
      <c r="K122" s="18"/>
      <c r="L122" t="s" s="285">
        <v>6</v>
      </c>
      <c r="M122" s="18"/>
      <c r="N122" t="s" s="285">
        <v>6</v>
      </c>
      <c r="O122" s="18"/>
      <c r="P122" t="s" s="8">
        <v>6</v>
      </c>
      <c r="Q122" s="18"/>
      <c r="R122" t="s" s="285">
        <v>6</v>
      </c>
      <c r="S122" s="18"/>
      <c r="T122" t="s" s="285">
        <v>6</v>
      </c>
      <c r="U122" s="18"/>
      <c r="V122" t="s" s="285">
        <v>6</v>
      </c>
      <c r="W122" s="18"/>
      <c r="X122" t="s" s="8">
        <v>6</v>
      </c>
      <c r="Y122" s="18"/>
      <c r="Z122" t="s" s="8">
        <v>6</v>
      </c>
      <c r="AA122" s="18"/>
      <c r="AB122" t="s" s="8">
        <v>6</v>
      </c>
      <c r="AC122" s="18"/>
      <c r="AD122" s="71"/>
      <c r="AE122" s="7"/>
      <c r="AF122" s="7"/>
    </row>
    <row r="123" ht="13.55" customHeight="1">
      <c r="A123" s="255"/>
      <c r="B123" s="27"/>
      <c r="C123" s="9"/>
      <c r="D123" s="27"/>
      <c r="E123" s="9"/>
      <c r="F123" t="s" s="8">
        <v>8</v>
      </c>
      <c r="G123" s="26">
        <v>1200</v>
      </c>
      <c r="H123" t="s" s="8">
        <v>8</v>
      </c>
      <c r="I123" s="26">
        <v>1200</v>
      </c>
      <c r="J123" t="s" s="8">
        <v>8</v>
      </c>
      <c r="K123" s="27"/>
      <c r="L123" t="s" s="8">
        <v>8</v>
      </c>
      <c r="M123" s="27"/>
      <c r="N123" t="s" s="8">
        <v>8</v>
      </c>
      <c r="O123" s="27"/>
      <c r="P123" t="s" s="8">
        <v>8</v>
      </c>
      <c r="Q123" s="27"/>
      <c r="R123" t="s" s="8">
        <v>8</v>
      </c>
      <c r="S123" s="27"/>
      <c r="T123" t="s" s="8">
        <v>8</v>
      </c>
      <c r="U123" s="27"/>
      <c r="V123" t="s" s="8">
        <v>8</v>
      </c>
      <c r="W123" s="27"/>
      <c r="X123" t="s" s="8">
        <v>8</v>
      </c>
      <c r="Y123" s="27"/>
      <c r="Z123" t="s" s="8">
        <v>8</v>
      </c>
      <c r="AA123" s="27"/>
      <c r="AB123" t="s" s="8">
        <v>8</v>
      </c>
      <c r="AC123" s="27"/>
      <c r="AD123" s="182" cm="1">
        <f t="array" ref="AD123">G123+I123+K123+M123+O123+Q123+S123+U123+W123+Y123+AA123+AC123</f>
        <v>2400</v>
      </c>
      <c r="AE123" s="183" cm="1">
        <f t="array" ref="AE123">1100*12</f>
        <v>13200</v>
      </c>
      <c r="AF123" s="51" cm="1">
        <f t="array" ref="AF123">AE123-AD123</f>
        <v>10800</v>
      </c>
    </row>
    <row r="124" ht="13.55" customHeight="1">
      <c r="A124" s="255"/>
      <c r="B124" s="27"/>
      <c r="C124" t="s" s="8">
        <v>9</v>
      </c>
      <c r="D124" s="26">
        <v>1000</v>
      </c>
      <c r="E124" s="9"/>
      <c r="F124" t="s" s="8">
        <v>10</v>
      </c>
      <c r="G124" t="s" s="33">
        <v>70</v>
      </c>
      <c r="H124" t="s" s="8">
        <v>10</v>
      </c>
      <c r="I124" t="s" s="33">
        <v>192</v>
      </c>
      <c r="J124" t="s" s="8">
        <v>10</v>
      </c>
      <c r="K124" s="34"/>
      <c r="L124" t="s" s="8">
        <v>10</v>
      </c>
      <c r="M124" s="34"/>
      <c r="N124" t="s" s="8">
        <v>10</v>
      </c>
      <c r="O124" s="34"/>
      <c r="P124" t="s" s="8">
        <v>10</v>
      </c>
      <c r="Q124" s="34"/>
      <c r="R124" t="s" s="8">
        <v>10</v>
      </c>
      <c r="S124" s="34"/>
      <c r="T124" t="s" s="8">
        <v>10</v>
      </c>
      <c r="U124" s="34"/>
      <c r="V124" t="s" s="8">
        <v>10</v>
      </c>
      <c r="W124" s="34"/>
      <c r="X124" t="s" s="8">
        <v>10</v>
      </c>
      <c r="Y124" s="34"/>
      <c r="Z124" t="s" s="8">
        <v>10</v>
      </c>
      <c r="AA124" s="34"/>
      <c r="AB124" t="s" s="8">
        <v>10</v>
      </c>
      <c r="AC124" s="34"/>
      <c r="AD124" s="180"/>
      <c r="AE124" s="177"/>
      <c r="AF124" s="7"/>
    </row>
    <row r="125" ht="13.75" customHeight="1">
      <c r="A125" s="255"/>
      <c r="B125" t="s" s="8">
        <v>567</v>
      </c>
      <c r="C125" s="9"/>
      <c r="D125" s="9"/>
      <c r="E125" t="s" s="8">
        <v>14</v>
      </c>
      <c r="F125" t="s" s="8">
        <v>6</v>
      </c>
      <c r="G125" s="132">
        <v>2073</v>
      </c>
      <c r="H125" t="s" s="8">
        <v>6</v>
      </c>
      <c r="I125" s="132">
        <v>2218</v>
      </c>
      <c r="J125" t="s" s="8">
        <v>6</v>
      </c>
      <c r="K125" s="18"/>
      <c r="L125" t="s" s="8">
        <v>6</v>
      </c>
      <c r="M125" s="18"/>
      <c r="N125" t="s" s="8">
        <v>6</v>
      </c>
      <c r="O125" s="18"/>
      <c r="P125" t="s" s="8">
        <v>6</v>
      </c>
      <c r="Q125" s="18"/>
      <c r="R125" t="s" s="8">
        <v>6</v>
      </c>
      <c r="S125" s="18"/>
      <c r="T125" t="s" s="8">
        <v>6</v>
      </c>
      <c r="U125" s="18"/>
      <c r="V125" t="s" s="8">
        <v>6</v>
      </c>
      <c r="W125" s="18"/>
      <c r="X125" t="s" s="8">
        <v>6</v>
      </c>
      <c r="Y125" s="18"/>
      <c r="Z125" t="s" s="8">
        <v>6</v>
      </c>
      <c r="AA125" s="18"/>
      <c r="AB125" t="s" s="8">
        <v>6</v>
      </c>
      <c r="AC125" s="18"/>
      <c r="AD125" s="180"/>
      <c r="AE125" s="177"/>
      <c r="AF125" s="7"/>
    </row>
    <row r="126" ht="13.55" customHeight="1">
      <c r="A126" s="255"/>
      <c r="B126" t="s" s="8">
        <v>568</v>
      </c>
      <c r="C126" s="9"/>
      <c r="D126" s="9"/>
      <c r="E126" s="9"/>
      <c r="F126" t="s" s="8">
        <v>8</v>
      </c>
      <c r="G126" s="26">
        <v>1200</v>
      </c>
      <c r="H126" t="s" s="8">
        <v>8</v>
      </c>
      <c r="I126" s="26">
        <v>1200</v>
      </c>
      <c r="J126" t="s" s="8">
        <v>8</v>
      </c>
      <c r="K126" s="27"/>
      <c r="L126" t="s" s="8">
        <v>8</v>
      </c>
      <c r="M126" s="27"/>
      <c r="N126" t="s" s="8">
        <v>8</v>
      </c>
      <c r="O126" s="27"/>
      <c r="P126" t="s" s="8">
        <v>8</v>
      </c>
      <c r="Q126" s="27"/>
      <c r="R126" t="s" s="8">
        <v>8</v>
      </c>
      <c r="S126" s="27"/>
      <c r="T126" t="s" s="8">
        <v>8</v>
      </c>
      <c r="U126" s="27"/>
      <c r="V126" t="s" s="8">
        <v>8</v>
      </c>
      <c r="W126" s="27"/>
      <c r="X126" t="s" s="8">
        <v>8</v>
      </c>
      <c r="Y126" s="27"/>
      <c r="Z126" t="s" s="8">
        <v>8</v>
      </c>
      <c r="AA126" s="27"/>
      <c r="AB126" t="s" s="8">
        <v>8</v>
      </c>
      <c r="AC126" s="27"/>
      <c r="AD126" s="182" cm="1">
        <f t="array" ref="AD126">G126+I126+K126+M126+O126+Q126+S126+U126+W126+Y126+AA126+AC126</f>
        <v>2400</v>
      </c>
      <c r="AE126" s="183" cm="1">
        <f t="array" ref="AE126">1100*9</f>
        <v>9900</v>
      </c>
      <c r="AF126" s="51" cm="1">
        <f t="array" ref="AF126">AE126-AD126</f>
        <v>7500</v>
      </c>
    </row>
    <row r="127" ht="13.55" customHeight="1">
      <c r="A127" s="255"/>
      <c r="B127" s="300"/>
      <c r="C127" s="9"/>
      <c r="D127" s="9"/>
      <c r="E127" s="9"/>
      <c r="F127" t="s" s="8">
        <v>10</v>
      </c>
      <c r="G127" t="s" s="130">
        <v>70</v>
      </c>
      <c r="H127" t="s" s="8">
        <v>10</v>
      </c>
      <c r="I127" t="s" s="130">
        <v>192</v>
      </c>
      <c r="J127" t="s" s="8">
        <v>10</v>
      </c>
      <c r="K127" s="34"/>
      <c r="L127" t="s" s="8">
        <v>10</v>
      </c>
      <c r="M127" s="34"/>
      <c r="N127" t="s" s="8">
        <v>10</v>
      </c>
      <c r="O127" s="34"/>
      <c r="P127" t="s" s="8">
        <v>10</v>
      </c>
      <c r="Q127" s="34"/>
      <c r="R127" t="s" s="8">
        <v>10</v>
      </c>
      <c r="S127" s="34"/>
      <c r="T127" t="s" s="8">
        <v>10</v>
      </c>
      <c r="U127" s="34"/>
      <c r="V127" t="s" s="8">
        <v>10</v>
      </c>
      <c r="W127" s="34"/>
      <c r="X127" t="s" s="8">
        <v>10</v>
      </c>
      <c r="Y127" s="34"/>
      <c r="Z127" t="s" s="8">
        <v>10</v>
      </c>
      <c r="AA127" s="34"/>
      <c r="AB127" t="s" s="8">
        <v>10</v>
      </c>
      <c r="AC127" s="34"/>
      <c r="AD127" s="72"/>
      <c r="AE127" s="7"/>
      <c r="AF127" s="7"/>
    </row>
    <row r="128" ht="15.75" customHeight="1">
      <c r="A128" s="112"/>
      <c r="B128" s="305"/>
      <c r="C128" s="306"/>
      <c r="D128" s="306"/>
      <c r="E128" s="302"/>
      <c r="F128" s="302"/>
      <c r="G128" s="303"/>
      <c r="H128" s="302"/>
      <c r="I128" s="303"/>
      <c r="J128" s="302"/>
      <c r="K128" s="303"/>
      <c r="L128" s="302"/>
      <c r="M128" s="303"/>
      <c r="N128" s="302"/>
      <c r="O128" s="303"/>
      <c r="P128" s="304"/>
      <c r="Q128" s="303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7"/>
      <c r="AE128" s="7"/>
      <c r="AF128" s="7"/>
    </row>
    <row r="129" ht="15.75" customHeight="1">
      <c r="A129" s="254">
        <v>19</v>
      </c>
      <c r="B129" t="s" s="295">
        <v>569</v>
      </c>
      <c r="C129" t="s" s="285">
        <v>570</v>
      </c>
      <c r="D129" s="296"/>
      <c r="E129" t="s" s="285">
        <v>5</v>
      </c>
      <c r="F129" t="s" s="285">
        <v>6</v>
      </c>
      <c r="G129" s="16">
        <v>1066</v>
      </c>
      <c r="H129" t="s" s="285">
        <v>6</v>
      </c>
      <c r="I129" s="16">
        <v>3178</v>
      </c>
      <c r="J129" t="s" s="285">
        <v>6</v>
      </c>
      <c r="K129" s="18"/>
      <c r="L129" t="s" s="285">
        <v>6</v>
      </c>
      <c r="M129" s="18"/>
      <c r="N129" t="s" s="285">
        <v>6</v>
      </c>
      <c r="O129" s="18"/>
      <c r="P129" t="s" s="8">
        <v>6</v>
      </c>
      <c r="Q129" s="18"/>
      <c r="R129" s="308"/>
      <c r="S129" s="309"/>
      <c r="T129" s="309"/>
      <c r="U129" s="309"/>
      <c r="V129" s="309"/>
      <c r="W129" s="309"/>
      <c r="X129" s="309"/>
      <c r="Y129" s="309"/>
      <c r="Z129" s="309"/>
      <c r="AA129" s="309"/>
      <c r="AB129" s="309"/>
      <c r="AC129" s="309"/>
      <c r="AD129" s="7"/>
      <c r="AE129" s="7"/>
      <c r="AF129" s="7"/>
    </row>
    <row r="130" ht="13.75" customHeight="1">
      <c r="A130" s="255"/>
      <c r="B130" t="s" s="228">
        <v>68</v>
      </c>
      <c r="C130" t="s" s="8">
        <v>7</v>
      </c>
      <c r="D130" s="26">
        <v>1000</v>
      </c>
      <c r="E130" s="9"/>
      <c r="F130" t="s" s="8">
        <v>8</v>
      </c>
      <c r="G130" s="26">
        <v>1200</v>
      </c>
      <c r="H130" t="s" s="8">
        <v>8</v>
      </c>
      <c r="I130" s="26">
        <v>1200</v>
      </c>
      <c r="J130" t="s" s="8">
        <v>8</v>
      </c>
      <c r="K130" s="27"/>
      <c r="L130" t="s" s="8">
        <v>8</v>
      </c>
      <c r="M130" s="27"/>
      <c r="N130" t="s" s="8">
        <v>8</v>
      </c>
      <c r="O130" s="27"/>
      <c r="P130" t="s" s="8">
        <v>8</v>
      </c>
      <c r="Q130" s="27"/>
      <c r="R130" s="308"/>
      <c r="S130" s="309"/>
      <c r="T130" s="309"/>
      <c r="U130" s="309"/>
      <c r="V130" s="309"/>
      <c r="W130" s="309"/>
      <c r="X130" s="309"/>
      <c r="Y130" s="309"/>
      <c r="Z130" s="309"/>
      <c r="AA130" s="309"/>
      <c r="AB130" s="309"/>
      <c r="AC130" s="309"/>
      <c r="AD130" s="7"/>
      <c r="AE130" s="7"/>
      <c r="AF130" s="7"/>
    </row>
    <row r="131" ht="13.55" customHeight="1">
      <c r="A131" s="255"/>
      <c r="B131" s="27"/>
      <c r="C131" t="s" s="8">
        <v>9</v>
      </c>
      <c r="D131" s="26">
        <v>1000</v>
      </c>
      <c r="E131" s="9"/>
      <c r="F131" t="s" s="8">
        <v>10</v>
      </c>
      <c r="G131" t="s" s="33">
        <v>159</v>
      </c>
      <c r="H131" t="s" s="8">
        <v>10</v>
      </c>
      <c r="I131" t="s" s="33">
        <v>24</v>
      </c>
      <c r="J131" t="s" s="8">
        <v>10</v>
      </c>
      <c r="K131" s="34"/>
      <c r="L131" t="s" s="8">
        <v>10</v>
      </c>
      <c r="M131" s="34"/>
      <c r="N131" t="s" s="8">
        <v>10</v>
      </c>
      <c r="O131" s="34"/>
      <c r="P131" t="s" s="8">
        <v>10</v>
      </c>
      <c r="Q131" s="34"/>
      <c r="R131" s="308"/>
      <c r="S131" s="309"/>
      <c r="T131" s="309"/>
      <c r="U131" s="309"/>
      <c r="V131" s="309"/>
      <c r="W131" s="309"/>
      <c r="X131" s="309"/>
      <c r="Y131" s="309"/>
      <c r="Z131" s="309"/>
      <c r="AA131" s="309"/>
      <c r="AB131" s="309"/>
      <c r="AC131" s="309"/>
      <c r="AD131" s="7"/>
      <c r="AE131" s="7"/>
      <c r="AF131" s="7"/>
    </row>
    <row r="132" ht="13.75" customHeight="1">
      <c r="A132" s="255"/>
      <c r="B132" t="s" s="8">
        <v>571</v>
      </c>
      <c r="C132" s="9"/>
      <c r="D132" s="9"/>
      <c r="E132" t="s" s="8">
        <v>14</v>
      </c>
      <c r="F132" t="s" s="8">
        <v>6</v>
      </c>
      <c r="G132" s="132">
        <v>2011</v>
      </c>
      <c r="H132" t="s" s="8">
        <v>6</v>
      </c>
      <c r="I132" s="132">
        <v>2160</v>
      </c>
      <c r="J132" t="s" s="8">
        <v>6</v>
      </c>
      <c r="K132" s="18"/>
      <c r="L132" t="s" s="8">
        <v>6</v>
      </c>
      <c r="M132" s="18"/>
      <c r="N132" t="s" s="8">
        <v>6</v>
      </c>
      <c r="O132" s="18"/>
      <c r="P132" t="s" s="8">
        <v>6</v>
      </c>
      <c r="Q132" s="18"/>
      <c r="R132" s="308"/>
      <c r="S132" s="309"/>
      <c r="T132" s="309"/>
      <c r="U132" s="309"/>
      <c r="V132" s="309"/>
      <c r="W132" s="309"/>
      <c r="X132" s="309"/>
      <c r="Y132" s="309"/>
      <c r="Z132" s="309"/>
      <c r="AA132" s="309"/>
      <c r="AB132" s="309"/>
      <c r="AC132" s="309"/>
      <c r="AD132" s="7"/>
      <c r="AE132" s="7"/>
      <c r="AF132" s="7"/>
    </row>
    <row r="133" ht="13.55" customHeight="1">
      <c r="A133" s="255"/>
      <c r="B133" t="s" s="8">
        <v>572</v>
      </c>
      <c r="C133" s="9"/>
      <c r="D133" s="9"/>
      <c r="E133" s="9"/>
      <c r="F133" t="s" s="8">
        <v>8</v>
      </c>
      <c r="G133" s="26">
        <v>600</v>
      </c>
      <c r="H133" t="s" s="8">
        <v>8</v>
      </c>
      <c r="I133" s="26">
        <v>600</v>
      </c>
      <c r="J133" t="s" s="8">
        <v>8</v>
      </c>
      <c r="K133" s="27"/>
      <c r="L133" t="s" s="8">
        <v>8</v>
      </c>
      <c r="M133" s="27"/>
      <c r="N133" t="s" s="8">
        <v>8</v>
      </c>
      <c r="O133" s="27"/>
      <c r="P133" t="s" s="8">
        <v>8</v>
      </c>
      <c r="Q133" s="27"/>
      <c r="R133" s="13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3.55" customHeight="1">
      <c r="A134" s="255"/>
      <c r="B134" s="253"/>
      <c r="C134" s="9"/>
      <c r="D134" s="9"/>
      <c r="E134" s="9"/>
      <c r="F134" t="s" s="8">
        <v>10</v>
      </c>
      <c r="G134" t="s" s="33">
        <v>159</v>
      </c>
      <c r="H134" t="s" s="8">
        <v>10</v>
      </c>
      <c r="I134" t="s" s="33">
        <v>24</v>
      </c>
      <c r="J134" t="s" s="8">
        <v>10</v>
      </c>
      <c r="K134" s="34"/>
      <c r="L134" t="s" s="8">
        <v>10</v>
      </c>
      <c r="M134" s="34"/>
      <c r="N134" t="s" s="8">
        <v>10</v>
      </c>
      <c r="O134" s="34"/>
      <c r="P134" t="s" s="8">
        <v>10</v>
      </c>
      <c r="Q134" s="34"/>
      <c r="R134" s="308"/>
      <c r="S134" s="309"/>
      <c r="T134" s="309"/>
      <c r="U134" s="309"/>
      <c r="V134" s="309"/>
      <c r="W134" s="309"/>
      <c r="X134" s="309"/>
      <c r="Y134" s="309"/>
      <c r="Z134" s="309"/>
      <c r="AA134" s="309"/>
      <c r="AB134" s="309"/>
      <c r="AC134" s="309"/>
      <c r="AD134" s="7"/>
      <c r="AE134" s="7"/>
      <c r="AF134" s="7"/>
    </row>
    <row r="135" ht="15.75" customHeight="1">
      <c r="A135" s="112"/>
      <c r="B135" s="310"/>
      <c r="C135" s="306"/>
      <c r="D135" s="306"/>
      <c r="E135" s="302"/>
      <c r="F135" s="302"/>
      <c r="G135" s="303"/>
      <c r="H135" s="302"/>
      <c r="I135" s="303"/>
      <c r="J135" s="302"/>
      <c r="K135" s="303"/>
      <c r="L135" s="302"/>
      <c r="M135" s="303"/>
      <c r="N135" s="302"/>
      <c r="O135" s="303"/>
      <c r="P135" s="304"/>
      <c r="Q135" s="303"/>
      <c r="R135" s="309"/>
      <c r="S135" s="309"/>
      <c r="T135" s="309"/>
      <c r="U135" s="309"/>
      <c r="V135" s="309"/>
      <c r="W135" s="309"/>
      <c r="X135" s="309"/>
      <c r="Y135" s="309"/>
      <c r="Z135" s="309"/>
      <c r="AA135" s="309"/>
      <c r="AB135" s="309"/>
      <c r="AC135" s="309"/>
      <c r="AD135" s="7"/>
      <c r="AE135" s="7"/>
      <c r="AF135" s="7"/>
    </row>
    <row r="136" ht="15.75" customHeight="1">
      <c r="A136" s="254">
        <v>20</v>
      </c>
      <c r="B136" t="s" s="295">
        <v>573</v>
      </c>
      <c r="C136" t="s" s="285">
        <v>570</v>
      </c>
      <c r="D136" s="296"/>
      <c r="E136" t="s" s="285">
        <v>5</v>
      </c>
      <c r="F136" t="s" s="285">
        <v>6</v>
      </c>
      <c r="G136" s="16">
        <v>1062</v>
      </c>
      <c r="H136" t="s" s="285">
        <v>6</v>
      </c>
      <c r="I136" s="16">
        <v>3179</v>
      </c>
      <c r="J136" t="s" s="285">
        <v>6</v>
      </c>
      <c r="K136" s="18"/>
      <c r="L136" t="s" s="285">
        <v>6</v>
      </c>
      <c r="M136" s="18"/>
      <c r="N136" t="s" s="285">
        <v>6</v>
      </c>
      <c r="O136" s="18"/>
      <c r="P136" t="s" s="8">
        <v>6</v>
      </c>
      <c r="Q136" s="18"/>
      <c r="R136" s="308"/>
      <c r="S136" s="309"/>
      <c r="T136" s="309"/>
      <c r="U136" s="309"/>
      <c r="V136" s="309"/>
      <c r="W136" s="309"/>
      <c r="X136" s="309"/>
      <c r="Y136" s="309"/>
      <c r="Z136" s="309"/>
      <c r="AA136" s="309"/>
      <c r="AB136" s="309"/>
      <c r="AC136" s="309"/>
      <c r="AD136" s="7"/>
      <c r="AE136" s="7"/>
      <c r="AF136" s="7"/>
    </row>
    <row r="137" ht="13.75" customHeight="1">
      <c r="A137" s="255"/>
      <c r="B137" t="s" s="228">
        <v>68</v>
      </c>
      <c r="C137" t="s" s="8">
        <v>7</v>
      </c>
      <c r="D137" s="26">
        <v>1000</v>
      </c>
      <c r="E137" s="9"/>
      <c r="F137" t="s" s="8">
        <v>8</v>
      </c>
      <c r="G137" s="26">
        <v>1200</v>
      </c>
      <c r="H137" t="s" s="8">
        <v>8</v>
      </c>
      <c r="I137" s="26">
        <v>1200</v>
      </c>
      <c r="J137" t="s" s="8">
        <v>8</v>
      </c>
      <c r="K137" s="27"/>
      <c r="L137" t="s" s="8">
        <v>8</v>
      </c>
      <c r="M137" s="27"/>
      <c r="N137" t="s" s="8">
        <v>8</v>
      </c>
      <c r="O137" s="27"/>
      <c r="P137" t="s" s="8">
        <v>8</v>
      </c>
      <c r="Q137" s="27"/>
      <c r="R137" s="308"/>
      <c r="S137" s="309"/>
      <c r="T137" s="309"/>
      <c r="U137" s="309"/>
      <c r="V137" s="309"/>
      <c r="W137" s="309"/>
      <c r="X137" s="309"/>
      <c r="Y137" s="309"/>
      <c r="Z137" s="309"/>
      <c r="AA137" s="309"/>
      <c r="AB137" s="309"/>
      <c r="AC137" s="309"/>
      <c r="AD137" s="7"/>
      <c r="AE137" s="7"/>
      <c r="AF137" s="7"/>
    </row>
    <row r="138" ht="13.55" customHeight="1">
      <c r="A138" s="255"/>
      <c r="B138" s="27"/>
      <c r="C138" t="s" s="8">
        <v>9</v>
      </c>
      <c r="D138" s="26">
        <v>1000</v>
      </c>
      <c r="E138" s="9"/>
      <c r="F138" t="s" s="8">
        <v>10</v>
      </c>
      <c r="G138" t="s" s="33">
        <v>159</v>
      </c>
      <c r="H138" t="s" s="8">
        <v>10</v>
      </c>
      <c r="I138" t="s" s="33">
        <v>24</v>
      </c>
      <c r="J138" t="s" s="8">
        <v>10</v>
      </c>
      <c r="K138" s="34"/>
      <c r="L138" t="s" s="8">
        <v>10</v>
      </c>
      <c r="M138" s="34"/>
      <c r="N138" t="s" s="8">
        <v>10</v>
      </c>
      <c r="O138" s="34"/>
      <c r="P138" t="s" s="8">
        <v>10</v>
      </c>
      <c r="Q138" s="34"/>
      <c r="R138" s="308"/>
      <c r="S138" s="309"/>
      <c r="T138" s="309"/>
      <c r="U138" s="309"/>
      <c r="V138" s="309"/>
      <c r="W138" s="309"/>
      <c r="X138" s="309"/>
      <c r="Y138" s="309"/>
      <c r="Z138" s="309"/>
      <c r="AA138" s="309"/>
      <c r="AB138" s="309"/>
      <c r="AC138" s="309"/>
      <c r="AD138" s="7"/>
      <c r="AE138" s="7"/>
      <c r="AF138" s="7"/>
    </row>
    <row r="139" ht="13.75" customHeight="1">
      <c r="A139" s="255"/>
      <c r="B139" t="s" s="8">
        <v>574</v>
      </c>
      <c r="C139" s="9"/>
      <c r="D139" s="9"/>
      <c r="E139" t="s" s="8">
        <v>14</v>
      </c>
      <c r="F139" t="s" s="8">
        <v>6</v>
      </c>
      <c r="G139" s="16">
        <v>2009</v>
      </c>
      <c r="H139" t="s" s="8">
        <v>6</v>
      </c>
      <c r="I139" s="16">
        <v>2162</v>
      </c>
      <c r="J139" t="s" s="8">
        <v>6</v>
      </c>
      <c r="K139" s="18"/>
      <c r="L139" t="s" s="8">
        <v>6</v>
      </c>
      <c r="M139" s="18"/>
      <c r="N139" t="s" s="8">
        <v>6</v>
      </c>
      <c r="O139" s="18"/>
      <c r="P139" t="s" s="8">
        <v>6</v>
      </c>
      <c r="Q139" s="18"/>
      <c r="R139" s="308"/>
      <c r="S139" s="309"/>
      <c r="T139" s="309"/>
      <c r="U139" s="309"/>
      <c r="V139" s="309"/>
      <c r="W139" s="309"/>
      <c r="X139" s="309"/>
      <c r="Y139" s="309"/>
      <c r="Z139" s="309"/>
      <c r="AA139" s="309"/>
      <c r="AB139" s="309"/>
      <c r="AC139" s="309"/>
      <c r="AD139" s="7"/>
      <c r="AE139" s="7"/>
      <c r="AF139" s="7"/>
    </row>
    <row r="140" ht="13.55" customHeight="1">
      <c r="A140" s="255"/>
      <c r="B140" t="s" s="8">
        <v>575</v>
      </c>
      <c r="C140" s="9"/>
      <c r="D140" s="9"/>
      <c r="E140" s="9"/>
      <c r="F140" t="s" s="8">
        <v>8</v>
      </c>
      <c r="G140" s="26">
        <v>600</v>
      </c>
      <c r="H140" t="s" s="8">
        <v>8</v>
      </c>
      <c r="I140" s="26">
        <v>600</v>
      </c>
      <c r="J140" t="s" s="8">
        <v>8</v>
      </c>
      <c r="K140" s="27"/>
      <c r="L140" t="s" s="8">
        <v>8</v>
      </c>
      <c r="M140" s="27"/>
      <c r="N140" t="s" s="8">
        <v>8</v>
      </c>
      <c r="O140" s="27"/>
      <c r="P140" t="s" s="8">
        <v>8</v>
      </c>
      <c r="Q140" s="27"/>
      <c r="R140" s="13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3.55" customHeight="1">
      <c r="A141" s="255"/>
      <c r="B141" s="253"/>
      <c r="C141" s="9"/>
      <c r="D141" s="9"/>
      <c r="E141" s="9"/>
      <c r="F141" t="s" s="8">
        <v>10</v>
      </c>
      <c r="G141" t="s" s="33">
        <v>159</v>
      </c>
      <c r="H141" t="s" s="8">
        <v>10</v>
      </c>
      <c r="I141" t="s" s="33">
        <v>24</v>
      </c>
      <c r="J141" t="s" s="8">
        <v>10</v>
      </c>
      <c r="K141" s="34"/>
      <c r="L141" t="s" s="8">
        <v>10</v>
      </c>
      <c r="M141" s="34"/>
      <c r="N141" t="s" s="8">
        <v>10</v>
      </c>
      <c r="O141" s="34"/>
      <c r="P141" t="s" s="8">
        <v>10</v>
      </c>
      <c r="Q141" s="34"/>
      <c r="R141" s="308"/>
      <c r="S141" s="309"/>
      <c r="T141" s="309"/>
      <c r="U141" s="309"/>
      <c r="V141" s="309"/>
      <c r="W141" s="309"/>
      <c r="X141" s="309"/>
      <c r="Y141" s="309"/>
      <c r="Z141" s="309"/>
      <c r="AA141" s="309"/>
      <c r="AB141" s="309"/>
      <c r="AC141" s="309"/>
      <c r="AD141" s="7"/>
      <c r="AE141" s="7"/>
      <c r="AF141" s="7"/>
    </row>
    <row r="142" ht="13.55" customHeight="1">
      <c r="A142" s="112"/>
      <c r="B142" s="113"/>
      <c r="C142" s="65"/>
      <c r="D142" s="65"/>
      <c r="E142" s="304"/>
      <c r="F142" s="304"/>
      <c r="G142" s="303"/>
      <c r="H142" s="304"/>
      <c r="I142" s="303"/>
      <c r="J142" s="304"/>
      <c r="K142" s="303"/>
      <c r="L142" s="304"/>
      <c r="M142" s="303"/>
      <c r="N142" s="304"/>
      <c r="O142" s="303"/>
      <c r="P142" s="304"/>
      <c r="Q142" s="303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  <c r="AB142" s="309"/>
      <c r="AC142" s="309"/>
      <c r="AD142" s="7"/>
      <c r="AE142" s="7"/>
      <c r="AF142" s="7"/>
    </row>
    <row r="143" ht="13.75" customHeight="1">
      <c r="A143" s="254">
        <v>21</v>
      </c>
      <c r="B143" t="s" s="130">
        <v>576</v>
      </c>
      <c r="C143" t="s" s="8">
        <v>570</v>
      </c>
      <c r="D143" s="9"/>
      <c r="E143" t="s" s="8">
        <v>5</v>
      </c>
      <c r="F143" t="s" s="8">
        <v>6</v>
      </c>
      <c r="G143" s="132">
        <v>1146</v>
      </c>
      <c r="H143" t="s" s="8">
        <v>6</v>
      </c>
      <c r="I143" s="132">
        <v>1146</v>
      </c>
      <c r="J143" t="s" s="8">
        <v>6</v>
      </c>
      <c r="K143" s="132">
        <v>1146</v>
      </c>
      <c r="L143" t="s" s="8">
        <v>6</v>
      </c>
      <c r="M143" s="18"/>
      <c r="N143" t="s" s="8">
        <v>6</v>
      </c>
      <c r="O143" s="18"/>
      <c r="P143" t="s" s="8">
        <v>6</v>
      </c>
      <c r="Q143" s="18"/>
      <c r="R143" s="308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7"/>
      <c r="AE143" s="7"/>
      <c r="AF143" s="7"/>
    </row>
    <row r="144" ht="13.55" customHeight="1">
      <c r="A144" s="255"/>
      <c r="B144" s="27"/>
      <c r="C144" s="9"/>
      <c r="D144" s="27"/>
      <c r="E144" s="9"/>
      <c r="F144" t="s" s="8">
        <v>8</v>
      </c>
      <c r="G144" s="26">
        <v>1200</v>
      </c>
      <c r="H144" t="s" s="8">
        <v>8</v>
      </c>
      <c r="I144" s="26">
        <v>1200</v>
      </c>
      <c r="J144" t="s" s="8">
        <v>8</v>
      </c>
      <c r="K144" s="26">
        <v>1200</v>
      </c>
      <c r="L144" t="s" s="8">
        <v>8</v>
      </c>
      <c r="M144" s="27"/>
      <c r="N144" t="s" s="8">
        <v>8</v>
      </c>
      <c r="O144" s="27"/>
      <c r="P144" t="s" s="8">
        <v>8</v>
      </c>
      <c r="Q144" s="27"/>
      <c r="R144" s="308"/>
      <c r="S144" s="309"/>
      <c r="T144" s="309"/>
      <c r="U144" s="309"/>
      <c r="V144" s="309"/>
      <c r="W144" s="309"/>
      <c r="X144" s="309"/>
      <c r="Y144" s="309"/>
      <c r="Z144" s="309"/>
      <c r="AA144" s="309"/>
      <c r="AB144" s="309"/>
      <c r="AC144" s="309"/>
      <c r="AD144" s="7"/>
      <c r="AE144" s="7"/>
      <c r="AF144" s="7"/>
    </row>
    <row r="145" ht="13.55" customHeight="1">
      <c r="A145" s="255"/>
      <c r="B145" s="27"/>
      <c r="C145" t="s" s="8">
        <v>9</v>
      </c>
      <c r="D145" s="26">
        <v>1000</v>
      </c>
      <c r="E145" s="9"/>
      <c r="F145" t="s" s="8">
        <v>10</v>
      </c>
      <c r="G145" t="s" s="33">
        <v>81</v>
      </c>
      <c r="H145" t="s" s="8">
        <v>10</v>
      </c>
      <c r="I145" t="s" s="33">
        <v>81</v>
      </c>
      <c r="J145" t="s" s="8">
        <v>10</v>
      </c>
      <c r="K145" t="s" s="33">
        <v>81</v>
      </c>
      <c r="L145" t="s" s="8">
        <v>10</v>
      </c>
      <c r="M145" s="34"/>
      <c r="N145" t="s" s="8">
        <v>10</v>
      </c>
      <c r="O145" s="34"/>
      <c r="P145" t="s" s="8">
        <v>10</v>
      </c>
      <c r="Q145" s="34"/>
      <c r="R145" s="308"/>
      <c r="S145" s="309"/>
      <c r="T145" s="309"/>
      <c r="U145" s="309"/>
      <c r="V145" s="309"/>
      <c r="W145" s="309"/>
      <c r="X145" s="309"/>
      <c r="Y145" s="309"/>
      <c r="Z145" s="309"/>
      <c r="AA145" s="309"/>
      <c r="AB145" s="309"/>
      <c r="AC145" s="309"/>
      <c r="AD145" s="7"/>
      <c r="AE145" s="7"/>
      <c r="AF145" s="7"/>
    </row>
    <row r="146" ht="13.75" customHeight="1">
      <c r="A146" s="255"/>
      <c r="B146" t="s" s="8">
        <v>577</v>
      </c>
      <c r="C146" s="9"/>
      <c r="D146" s="9"/>
      <c r="E146" t="s" s="8">
        <v>14</v>
      </c>
      <c r="F146" t="s" s="8">
        <v>6</v>
      </c>
      <c r="G146" s="132">
        <v>2066</v>
      </c>
      <c r="H146" t="s" s="8">
        <v>6</v>
      </c>
      <c r="I146" s="132">
        <v>2066</v>
      </c>
      <c r="J146" t="s" s="8">
        <v>6</v>
      </c>
      <c r="K146" s="18"/>
      <c r="L146" t="s" s="8">
        <v>6</v>
      </c>
      <c r="M146" s="18"/>
      <c r="N146" t="s" s="8">
        <v>6</v>
      </c>
      <c r="O146" s="18"/>
      <c r="P146" t="s" s="8">
        <v>6</v>
      </c>
      <c r="Q146" s="18"/>
      <c r="R146" s="308"/>
      <c r="S146" s="309"/>
      <c r="T146" s="309"/>
      <c r="U146" s="309"/>
      <c r="V146" s="309"/>
      <c r="W146" s="309"/>
      <c r="X146" s="309"/>
      <c r="Y146" s="309"/>
      <c r="Z146" s="309"/>
      <c r="AA146" s="309"/>
      <c r="AB146" s="309"/>
      <c r="AC146" s="309"/>
      <c r="AD146" s="7"/>
      <c r="AE146" s="7"/>
      <c r="AF146" s="7"/>
    </row>
    <row r="147" ht="13.55" customHeight="1">
      <c r="A147" s="255"/>
      <c r="B147" t="s" s="8">
        <v>578</v>
      </c>
      <c r="C147" s="9"/>
      <c r="D147" s="9"/>
      <c r="E147" s="9"/>
      <c r="F147" t="s" s="8">
        <v>8</v>
      </c>
      <c r="G147" s="26">
        <v>600</v>
      </c>
      <c r="H147" t="s" s="8">
        <v>8</v>
      </c>
      <c r="I147" s="26">
        <v>600</v>
      </c>
      <c r="J147" t="s" s="8">
        <v>8</v>
      </c>
      <c r="K147" s="27"/>
      <c r="L147" t="s" s="8">
        <v>8</v>
      </c>
      <c r="M147" s="27"/>
      <c r="N147" t="s" s="8">
        <v>8</v>
      </c>
      <c r="O147" s="27"/>
      <c r="P147" t="s" s="8">
        <v>8</v>
      </c>
      <c r="Q147" s="27"/>
      <c r="R147" s="308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7"/>
      <c r="AE147" s="7"/>
      <c r="AF147" s="7"/>
    </row>
    <row r="148" ht="13.55" customHeight="1">
      <c r="A148" s="255"/>
      <c r="B148" s="253"/>
      <c r="C148" s="9"/>
      <c r="D148" s="9"/>
      <c r="E148" s="9"/>
      <c r="F148" t="s" s="8">
        <v>10</v>
      </c>
      <c r="G148" t="s" s="33">
        <v>81</v>
      </c>
      <c r="H148" t="s" s="8">
        <v>10</v>
      </c>
      <c r="I148" t="s" s="33">
        <v>81</v>
      </c>
      <c r="J148" t="s" s="8">
        <v>10</v>
      </c>
      <c r="K148" s="34"/>
      <c r="L148" t="s" s="8">
        <v>10</v>
      </c>
      <c r="M148" s="34"/>
      <c r="N148" t="s" s="8">
        <v>10</v>
      </c>
      <c r="O148" s="34"/>
      <c r="P148" t="s" s="8">
        <v>10</v>
      </c>
      <c r="Q148" s="34"/>
      <c r="R148" s="308"/>
      <c r="S148" s="309"/>
      <c r="T148" s="309"/>
      <c r="U148" s="309"/>
      <c r="V148" s="309"/>
      <c r="W148" s="309"/>
      <c r="X148" s="309"/>
      <c r="Y148" s="309"/>
      <c r="Z148" s="309"/>
      <c r="AA148" s="309"/>
      <c r="AB148" s="309"/>
      <c r="AC148" s="309"/>
      <c r="AD148" s="7"/>
      <c r="AE148" s="7"/>
      <c r="AF148" s="7"/>
    </row>
    <row r="149" ht="13.55" customHeight="1">
      <c r="A149" s="255"/>
      <c r="B149" s="253"/>
      <c r="C149" s="9"/>
      <c r="D149" s="9"/>
      <c r="E149" s="9"/>
      <c r="F149" s="9"/>
      <c r="G149" s="34"/>
      <c r="H149" s="9"/>
      <c r="I149" s="34"/>
      <c r="J149" s="9"/>
      <c r="K149" s="34"/>
      <c r="L149" s="9"/>
      <c r="M149" s="34"/>
      <c r="N149" s="9"/>
      <c r="O149" s="34"/>
      <c r="P149" s="9"/>
      <c r="Q149" s="34"/>
      <c r="R149" s="308"/>
      <c r="S149" s="309"/>
      <c r="T149" s="309"/>
      <c r="U149" s="309"/>
      <c r="V149" s="309"/>
      <c r="W149" s="309"/>
      <c r="X149" s="309"/>
      <c r="Y149" s="309"/>
      <c r="Z149" s="309"/>
      <c r="AA149" s="309"/>
      <c r="AB149" s="309"/>
      <c r="AC149" s="309"/>
      <c r="AD149" s="7"/>
      <c r="AE149" s="7"/>
      <c r="AF149" s="7"/>
    </row>
    <row r="150" ht="13.75" customHeight="1">
      <c r="A150" s="254">
        <v>22</v>
      </c>
      <c r="B150" t="s" s="130">
        <v>579</v>
      </c>
      <c r="C150" t="s" s="8">
        <v>570</v>
      </c>
      <c r="D150" s="9"/>
      <c r="E150" t="s" s="8">
        <v>5</v>
      </c>
      <c r="F150" t="s" s="8">
        <v>6</v>
      </c>
      <c r="G150" s="16">
        <v>1227</v>
      </c>
      <c r="H150" t="s" s="8">
        <v>6</v>
      </c>
      <c r="I150" s="18"/>
      <c r="J150" t="s" s="8">
        <v>6</v>
      </c>
      <c r="K150" s="18"/>
      <c r="L150" t="s" s="8">
        <v>6</v>
      </c>
      <c r="M150" s="18"/>
      <c r="N150" t="s" s="8">
        <v>6</v>
      </c>
      <c r="O150" s="18"/>
      <c r="P150" t="s" s="8">
        <v>6</v>
      </c>
      <c r="Q150" s="18"/>
      <c r="R150" s="308"/>
      <c r="S150" s="309"/>
      <c r="T150" s="309"/>
      <c r="U150" s="309"/>
      <c r="V150" s="309"/>
      <c r="W150" s="309"/>
      <c r="X150" s="309"/>
      <c r="Y150" s="309"/>
      <c r="Z150" s="309"/>
      <c r="AA150" s="309"/>
      <c r="AB150" s="309"/>
      <c r="AC150" s="309"/>
      <c r="AD150" s="7"/>
      <c r="AE150" s="7"/>
      <c r="AF150" s="7"/>
    </row>
    <row r="151" ht="13.55" customHeight="1">
      <c r="A151" s="255"/>
      <c r="B151" s="27"/>
      <c r="C151" s="9"/>
      <c r="D151" s="27"/>
      <c r="E151" s="9"/>
      <c r="F151" t="s" s="8">
        <v>8</v>
      </c>
      <c r="G151" s="26">
        <v>1200</v>
      </c>
      <c r="H151" t="s" s="8">
        <v>8</v>
      </c>
      <c r="I151" s="27"/>
      <c r="J151" t="s" s="8">
        <v>8</v>
      </c>
      <c r="K151" s="27"/>
      <c r="L151" t="s" s="8">
        <v>8</v>
      </c>
      <c r="M151" s="27"/>
      <c r="N151" t="s" s="8">
        <v>8</v>
      </c>
      <c r="O151" s="27"/>
      <c r="P151" t="s" s="8">
        <v>8</v>
      </c>
      <c r="Q151" s="27"/>
      <c r="R151" s="308"/>
      <c r="S151" s="309"/>
      <c r="T151" s="309"/>
      <c r="U151" s="309"/>
      <c r="V151" s="309"/>
      <c r="W151" s="309"/>
      <c r="X151" s="309"/>
      <c r="Y151" s="309"/>
      <c r="Z151" s="309"/>
      <c r="AA151" s="309"/>
      <c r="AB151" s="309"/>
      <c r="AC151" s="309"/>
      <c r="AD151" s="7"/>
      <c r="AE151" s="7"/>
      <c r="AF151" s="7"/>
    </row>
    <row r="152" ht="13.55" customHeight="1">
      <c r="A152" s="255"/>
      <c r="B152" s="27"/>
      <c r="C152" t="s" s="8">
        <v>9</v>
      </c>
      <c r="D152" s="26">
        <v>1000</v>
      </c>
      <c r="E152" s="9"/>
      <c r="F152" t="s" s="8">
        <v>10</v>
      </c>
      <c r="G152" t="s" s="33">
        <v>47</v>
      </c>
      <c r="H152" t="s" s="8">
        <v>10</v>
      </c>
      <c r="I152" s="34"/>
      <c r="J152" t="s" s="8">
        <v>10</v>
      </c>
      <c r="K152" s="34"/>
      <c r="L152" t="s" s="8">
        <v>10</v>
      </c>
      <c r="M152" s="34"/>
      <c r="N152" t="s" s="8">
        <v>10</v>
      </c>
      <c r="O152" s="34"/>
      <c r="P152" t="s" s="8">
        <v>10</v>
      </c>
      <c r="Q152" s="34"/>
      <c r="R152" s="308"/>
      <c r="S152" s="309"/>
      <c r="T152" s="309"/>
      <c r="U152" s="309"/>
      <c r="V152" s="309"/>
      <c r="W152" s="309"/>
      <c r="X152" s="309"/>
      <c r="Y152" s="309"/>
      <c r="Z152" s="309"/>
      <c r="AA152" s="309"/>
      <c r="AB152" s="309"/>
      <c r="AC152" s="309"/>
      <c r="AD152" s="7"/>
      <c r="AE152" s="7"/>
      <c r="AF152" s="7"/>
    </row>
    <row r="153" ht="13.75" customHeight="1">
      <c r="A153" s="255"/>
      <c r="B153" t="s" s="8">
        <v>580</v>
      </c>
      <c r="C153" s="9"/>
      <c r="D153" s="9"/>
      <c r="E153" t="s" s="8">
        <v>14</v>
      </c>
      <c r="F153" t="s" s="8">
        <v>6</v>
      </c>
      <c r="G153" s="131"/>
      <c r="H153" t="s" s="8">
        <v>6</v>
      </c>
      <c r="I153" s="18"/>
      <c r="J153" t="s" s="8">
        <v>6</v>
      </c>
      <c r="K153" s="18"/>
      <c r="L153" t="s" s="8">
        <v>6</v>
      </c>
      <c r="M153" s="18"/>
      <c r="N153" t="s" s="8">
        <v>6</v>
      </c>
      <c r="O153" s="18"/>
      <c r="P153" t="s" s="8">
        <v>6</v>
      </c>
      <c r="Q153" s="18"/>
      <c r="R153" s="308"/>
      <c r="S153" s="309"/>
      <c r="T153" s="309"/>
      <c r="U153" s="309"/>
      <c r="V153" s="309"/>
      <c r="W153" s="309"/>
      <c r="X153" s="309"/>
      <c r="Y153" s="309"/>
      <c r="Z153" s="309"/>
      <c r="AA153" s="309"/>
      <c r="AB153" s="309"/>
      <c r="AC153" s="309"/>
      <c r="AD153" s="7"/>
      <c r="AE153" s="7"/>
      <c r="AF153" s="7"/>
    </row>
    <row r="154" ht="13.55" customHeight="1">
      <c r="A154" s="255"/>
      <c r="B154" t="s" s="8">
        <v>581</v>
      </c>
      <c r="C154" s="9"/>
      <c r="D154" s="9"/>
      <c r="E154" s="9"/>
      <c r="F154" t="s" s="8">
        <v>8</v>
      </c>
      <c r="G154" s="299"/>
      <c r="H154" t="s" s="8">
        <v>8</v>
      </c>
      <c r="I154" s="27"/>
      <c r="J154" t="s" s="8">
        <v>8</v>
      </c>
      <c r="K154" s="27"/>
      <c r="L154" t="s" s="8">
        <v>8</v>
      </c>
      <c r="M154" s="27"/>
      <c r="N154" t="s" s="8">
        <v>8</v>
      </c>
      <c r="O154" s="27"/>
      <c r="P154" t="s" s="8">
        <v>8</v>
      </c>
      <c r="Q154" s="27"/>
      <c r="R154" s="13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3.55" customHeight="1">
      <c r="A155" s="255"/>
      <c r="B155" s="253"/>
      <c r="C155" s="9"/>
      <c r="D155" s="9"/>
      <c r="E155" s="9"/>
      <c r="F155" t="s" s="8">
        <v>10</v>
      </c>
      <c r="G155" s="131"/>
      <c r="H155" t="s" s="8">
        <v>10</v>
      </c>
      <c r="I155" s="34"/>
      <c r="J155" t="s" s="8">
        <v>10</v>
      </c>
      <c r="K155" s="34"/>
      <c r="L155" t="s" s="8">
        <v>10</v>
      </c>
      <c r="M155" s="34"/>
      <c r="N155" t="s" s="8">
        <v>10</v>
      </c>
      <c r="O155" s="34"/>
      <c r="P155" t="s" s="8">
        <v>10</v>
      </c>
      <c r="Q155" s="34"/>
      <c r="R155" s="308"/>
      <c r="S155" s="309"/>
      <c r="T155" s="309"/>
      <c r="U155" s="309"/>
      <c r="V155" s="309"/>
      <c r="W155" s="309"/>
      <c r="X155" s="309"/>
      <c r="Y155" s="309"/>
      <c r="Z155" s="309"/>
      <c r="AA155" s="309"/>
      <c r="AB155" s="309"/>
      <c r="AC155" s="309"/>
      <c r="AD155" s="7"/>
      <c r="AE155" s="7"/>
      <c r="AF155" s="7"/>
    </row>
    <row r="156" ht="13.55" customHeight="1">
      <c r="A156" s="311"/>
      <c r="B156" s="312"/>
      <c r="C156" s="70"/>
      <c r="D156" s="70"/>
      <c r="E156" s="307"/>
      <c r="F156" s="307"/>
      <c r="G156" s="313"/>
      <c r="H156" s="307"/>
      <c r="I156" s="313"/>
      <c r="J156" s="307"/>
      <c r="K156" s="313"/>
      <c r="L156" s="307"/>
      <c r="M156" s="313"/>
      <c r="N156" s="307"/>
      <c r="O156" s="313"/>
      <c r="P156" s="307"/>
      <c r="Q156" s="313"/>
      <c r="R156" s="309"/>
      <c r="S156" s="309"/>
      <c r="T156" s="309"/>
      <c r="U156" s="309"/>
      <c r="V156" s="309"/>
      <c r="W156" s="309"/>
      <c r="X156" s="309"/>
      <c r="Y156" s="309"/>
      <c r="Z156" s="309"/>
      <c r="AA156" s="309"/>
      <c r="AB156" s="309"/>
      <c r="AC156" s="309"/>
      <c r="AD156" s="7"/>
      <c r="AE156" s="7"/>
      <c r="AF156" s="7"/>
    </row>
    <row r="157" ht="13.55" customHeight="1">
      <c r="A157" s="6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309"/>
      <c r="S157" s="309"/>
      <c r="T157" s="309"/>
      <c r="U157" s="309"/>
      <c r="V157" s="309"/>
      <c r="W157" s="309"/>
      <c r="X157" s="309"/>
      <c r="Y157" s="309"/>
      <c r="Z157" s="309"/>
      <c r="AA157" s="309"/>
      <c r="AB157" s="309"/>
      <c r="AC157" s="309"/>
      <c r="AD157" s="7"/>
      <c r="AE157" s="7"/>
      <c r="AF157" s="7"/>
    </row>
    <row r="158" ht="13.5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7"/>
      <c r="AE158" s="7"/>
      <c r="AF158" s="7"/>
    </row>
    <row r="159" ht="13.5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309"/>
      <c r="S159" s="309"/>
      <c r="T159" s="309"/>
      <c r="U159" s="309"/>
      <c r="V159" s="309"/>
      <c r="W159" s="309"/>
      <c r="X159" s="309"/>
      <c r="Y159" s="309"/>
      <c r="Z159" s="309"/>
      <c r="AA159" s="309"/>
      <c r="AB159" s="309"/>
      <c r="AC159" s="309"/>
      <c r="AD159" s="7"/>
      <c r="AE159" s="7"/>
      <c r="AF159" s="7"/>
    </row>
    <row r="160" ht="13.5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309"/>
      <c r="S160" s="309"/>
      <c r="T160" s="309"/>
      <c r="U160" s="309"/>
      <c r="V160" s="309"/>
      <c r="W160" s="309"/>
      <c r="X160" s="309"/>
      <c r="Y160" s="309"/>
      <c r="Z160" s="309"/>
      <c r="AA160" s="309"/>
      <c r="AB160" s="309"/>
      <c r="AC160" s="309"/>
      <c r="AD160" s="7"/>
      <c r="AE160" s="7"/>
      <c r="AF160" s="7"/>
    </row>
    <row r="161" ht="13.5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3.55" customHeight="1">
      <c r="A162" s="5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309"/>
      <c r="S162" s="309"/>
      <c r="T162" s="309"/>
      <c r="U162" s="309"/>
      <c r="V162" s="309"/>
      <c r="W162" s="309"/>
      <c r="X162" s="309"/>
      <c r="Y162" s="309"/>
      <c r="Z162" s="309"/>
      <c r="AA162" s="309"/>
      <c r="AB162" s="309"/>
      <c r="AC162" s="309"/>
      <c r="AD162" s="7"/>
      <c r="AE162" s="7"/>
      <c r="AF162" s="7"/>
    </row>
    <row r="163" ht="13.55" customHeight="1">
      <c r="A163" s="314"/>
      <c r="B163" s="315"/>
      <c r="C163" s="7"/>
      <c r="D163" s="7"/>
      <c r="E163" s="309"/>
      <c r="F163" s="309"/>
      <c r="G163" s="316"/>
      <c r="H163" s="309"/>
      <c r="I163" s="316"/>
      <c r="J163" s="309"/>
      <c r="K163" s="316"/>
      <c r="L163" s="309"/>
      <c r="M163" s="316"/>
      <c r="N163" s="309"/>
      <c r="O163" s="316"/>
      <c r="P163" s="309"/>
      <c r="Q163" s="316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  <c r="AB163" s="309"/>
      <c r="AC163" s="309"/>
      <c r="AD163" s="7"/>
      <c r="AE163" s="7"/>
      <c r="AF163" s="7"/>
    </row>
    <row r="164" ht="13.55" customHeight="1">
      <c r="A164" s="314"/>
      <c r="B164" s="315"/>
      <c r="C164" s="7"/>
      <c r="D164" s="7"/>
      <c r="E164" s="309"/>
      <c r="F164" s="309"/>
      <c r="G164" s="317"/>
      <c r="H164" s="309"/>
      <c r="I164" s="317"/>
      <c r="J164" s="309"/>
      <c r="K164" s="316"/>
      <c r="L164" s="309"/>
      <c r="M164" s="317"/>
      <c r="N164" s="309"/>
      <c r="O164" s="317"/>
      <c r="P164" s="309"/>
      <c r="Q164" s="318"/>
      <c r="R164" s="309"/>
      <c r="S164" s="309"/>
      <c r="T164" s="309"/>
      <c r="U164" s="309"/>
      <c r="V164" s="309"/>
      <c r="W164" s="309"/>
      <c r="X164" s="309"/>
      <c r="Y164" s="309"/>
      <c r="Z164" s="309"/>
      <c r="AA164" s="309"/>
      <c r="AB164" s="309"/>
      <c r="AC164" s="309"/>
      <c r="AD164" s="7"/>
      <c r="AE164" s="7"/>
      <c r="AF164" s="7"/>
    </row>
    <row r="165" ht="13.55" customHeight="1">
      <c r="A165" s="314"/>
      <c r="B165" s="315"/>
      <c r="C165" s="7"/>
      <c r="D165" s="7"/>
      <c r="E165" s="309"/>
      <c r="F165" s="309"/>
      <c r="G165" s="316"/>
      <c r="H165" s="309"/>
      <c r="I165" s="7"/>
      <c r="J165" s="309"/>
      <c r="K165" s="316"/>
      <c r="L165" s="309"/>
      <c r="M165" s="7"/>
      <c r="N165" s="309"/>
      <c r="O165" s="7"/>
      <c r="P165" s="309"/>
      <c r="Q165" s="7"/>
      <c r="R165" s="309"/>
      <c r="S165" s="309"/>
      <c r="T165" s="309"/>
      <c r="U165" s="309"/>
      <c r="V165" s="309"/>
      <c r="W165" s="309"/>
      <c r="X165" s="309"/>
      <c r="Y165" s="309"/>
      <c r="Z165" s="309"/>
      <c r="AA165" s="309"/>
      <c r="AB165" s="309"/>
      <c r="AC165" s="309"/>
      <c r="AD165" s="7"/>
      <c r="AE165" s="7"/>
      <c r="AF165" s="7"/>
    </row>
    <row r="166" ht="13.55" customHeight="1">
      <c r="A166" s="314"/>
      <c r="B166" s="315"/>
      <c r="C166" s="7"/>
      <c r="D166" s="7"/>
      <c r="E166" s="309"/>
      <c r="F166" s="309"/>
      <c r="G166" s="316"/>
      <c r="H166" s="309"/>
      <c r="I166" s="316"/>
      <c r="J166" s="309"/>
      <c r="K166" s="316"/>
      <c r="L166" s="309"/>
      <c r="M166" s="316"/>
      <c r="N166" s="309"/>
      <c r="O166" s="316"/>
      <c r="P166" s="309"/>
      <c r="Q166" s="316"/>
      <c r="R166" s="309"/>
      <c r="S166" s="309"/>
      <c r="T166" s="309"/>
      <c r="U166" s="309"/>
      <c r="V166" s="309"/>
      <c r="W166" s="309"/>
      <c r="X166" s="309"/>
      <c r="Y166" s="309"/>
      <c r="Z166" s="309"/>
      <c r="AA166" s="309"/>
      <c r="AB166" s="309"/>
      <c r="AC166" s="309"/>
      <c r="AD166" s="7"/>
      <c r="AE166" s="7"/>
      <c r="AF166" s="7"/>
    </row>
    <row r="167" ht="13.55" customHeight="1">
      <c r="A167" s="314"/>
      <c r="B167" s="315"/>
      <c r="C167" s="7"/>
      <c r="D167" s="7"/>
      <c r="E167" s="309"/>
      <c r="F167" s="309"/>
      <c r="G167" s="316"/>
      <c r="H167" s="309"/>
      <c r="I167" s="317"/>
      <c r="J167" s="309"/>
      <c r="K167" s="316"/>
      <c r="L167" s="309"/>
      <c r="M167" s="317"/>
      <c r="N167" s="309"/>
      <c r="O167" s="317"/>
      <c r="P167" s="309"/>
      <c r="Q167" s="317"/>
      <c r="R167" s="309"/>
      <c r="S167" s="309"/>
      <c r="T167" s="309"/>
      <c r="U167" s="309"/>
      <c r="V167" s="309"/>
      <c r="W167" s="309"/>
      <c r="X167" s="309"/>
      <c r="Y167" s="309"/>
      <c r="Z167" s="309"/>
      <c r="AA167" s="309"/>
      <c r="AB167" s="309"/>
      <c r="AC167" s="309"/>
      <c r="AD167" s="7"/>
      <c r="AE167" s="7"/>
      <c r="AF167" s="7"/>
    </row>
    <row r="168" ht="13.55" customHeight="1">
      <c r="A168" s="314"/>
      <c r="B168" s="31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3.55" customHeight="1">
      <c r="A169" s="314"/>
      <c r="B169" s="315"/>
      <c r="C169" s="7"/>
      <c r="D169" s="7"/>
      <c r="E169" s="309"/>
      <c r="F169" s="309"/>
      <c r="G169" s="7"/>
      <c r="H169" s="309"/>
      <c r="I169" s="7"/>
      <c r="J169" s="309"/>
      <c r="K169" s="7"/>
      <c r="L169" s="309"/>
      <c r="M169" s="7"/>
      <c r="N169" s="309"/>
      <c r="O169" s="7"/>
      <c r="P169" s="309"/>
      <c r="Q169" s="7"/>
      <c r="R169" s="309"/>
      <c r="S169" s="309"/>
      <c r="T169" s="309"/>
      <c r="U169" s="309"/>
      <c r="V169" s="309"/>
      <c r="W169" s="309"/>
      <c r="X169" s="309"/>
      <c r="Y169" s="309"/>
      <c r="Z169" s="309"/>
      <c r="AA169" s="309"/>
      <c r="AB169" s="309"/>
      <c r="AC169" s="309"/>
      <c r="AD169" s="7"/>
      <c r="AE169" s="7"/>
      <c r="AF169" s="7"/>
    </row>
    <row r="170" ht="13.55" customHeight="1">
      <c r="A170" s="60"/>
      <c r="B170" s="7"/>
      <c r="C170" s="7"/>
      <c r="D170" s="7"/>
      <c r="E170" s="309"/>
      <c r="F170" s="309"/>
      <c r="G170" s="316"/>
      <c r="H170" s="309"/>
      <c r="I170" s="316"/>
      <c r="J170" s="309"/>
      <c r="K170" s="316"/>
      <c r="L170" s="309"/>
      <c r="M170" s="316"/>
      <c r="N170" s="309"/>
      <c r="O170" s="316"/>
      <c r="P170" s="309"/>
      <c r="Q170" s="316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  <c r="AB170" s="309"/>
      <c r="AC170" s="309"/>
      <c r="AD170" s="7"/>
      <c r="AE170" s="7"/>
      <c r="AF170" s="7"/>
    </row>
    <row r="171" ht="13.55" customHeight="1">
      <c r="A171" s="7"/>
      <c r="B171" s="7"/>
      <c r="C171" s="7"/>
      <c r="D171" s="7"/>
      <c r="E171" s="309"/>
      <c r="F171" s="309"/>
      <c r="G171" s="317"/>
      <c r="H171" s="309"/>
      <c r="I171" s="317"/>
      <c r="J171" s="309"/>
      <c r="K171" s="316"/>
      <c r="L171" s="309"/>
      <c r="M171" s="317"/>
      <c r="N171" s="309"/>
      <c r="O171" s="317"/>
      <c r="P171" s="309"/>
      <c r="Q171" s="318"/>
      <c r="R171" s="309"/>
      <c r="S171" s="309"/>
      <c r="T171" s="309"/>
      <c r="U171" s="309"/>
      <c r="V171" s="309"/>
      <c r="W171" s="309"/>
      <c r="X171" s="309"/>
      <c r="Y171" s="309"/>
      <c r="Z171" s="309"/>
      <c r="AA171" s="309"/>
      <c r="AB171" s="309"/>
      <c r="AC171" s="309"/>
      <c r="AD171" s="7"/>
      <c r="AE171" s="7"/>
      <c r="AF171" s="7"/>
    </row>
    <row r="172" ht="13.55" customHeight="1">
      <c r="A172" s="7"/>
      <c r="B172" s="7"/>
      <c r="C172" s="7"/>
      <c r="D172" s="7"/>
      <c r="E172" s="309"/>
      <c r="F172" s="309"/>
      <c r="G172" s="316"/>
      <c r="H172" s="309"/>
      <c r="I172" s="7"/>
      <c r="J172" s="309"/>
      <c r="K172" s="316"/>
      <c r="L172" s="309"/>
      <c r="M172" s="7"/>
      <c r="N172" s="309"/>
      <c r="O172" s="7"/>
      <c r="P172" s="309"/>
      <c r="Q172" s="7"/>
      <c r="R172" s="309"/>
      <c r="S172" s="309"/>
      <c r="T172" s="309"/>
      <c r="U172" s="309"/>
      <c r="V172" s="309"/>
      <c r="W172" s="309"/>
      <c r="X172" s="309"/>
      <c r="Y172" s="309"/>
      <c r="Z172" s="309"/>
      <c r="AA172" s="309"/>
      <c r="AB172" s="309"/>
      <c r="AC172" s="309"/>
      <c r="AD172" s="7"/>
      <c r="AE172" s="7"/>
      <c r="AF172" s="7"/>
    </row>
    <row r="173" ht="13.55" customHeight="1">
      <c r="A173" s="7"/>
      <c r="B173" s="7"/>
      <c r="C173" s="7"/>
      <c r="D173" s="7"/>
      <c r="E173" s="309"/>
      <c r="F173" s="309"/>
      <c r="G173" s="316"/>
      <c r="H173" s="309"/>
      <c r="I173" s="316"/>
      <c r="J173" s="309"/>
      <c r="K173" s="316"/>
      <c r="L173" s="309"/>
      <c r="M173" s="316"/>
      <c r="N173" s="309"/>
      <c r="O173" s="316"/>
      <c r="P173" s="309"/>
      <c r="Q173" s="316"/>
      <c r="R173" s="309"/>
      <c r="S173" s="309"/>
      <c r="T173" s="309"/>
      <c r="U173" s="309"/>
      <c r="V173" s="309"/>
      <c r="W173" s="309"/>
      <c r="X173" s="309"/>
      <c r="Y173" s="309"/>
      <c r="Z173" s="309"/>
      <c r="AA173" s="309"/>
      <c r="AB173" s="309"/>
      <c r="AC173" s="309"/>
      <c r="AD173" s="7"/>
      <c r="AE173" s="7"/>
      <c r="AF173" s="7"/>
    </row>
    <row r="174" ht="13.55" customHeight="1">
      <c r="A174" s="7"/>
      <c r="B174" s="7"/>
      <c r="C174" s="7"/>
      <c r="D174" s="7"/>
      <c r="E174" s="309"/>
      <c r="F174" s="309"/>
      <c r="G174" s="316"/>
      <c r="H174" s="309"/>
      <c r="I174" s="317"/>
      <c r="J174" s="309"/>
      <c r="K174" s="316"/>
      <c r="L174" s="309"/>
      <c r="M174" s="317"/>
      <c r="N174" s="309"/>
      <c r="O174" s="317"/>
      <c r="P174" s="309"/>
      <c r="Q174" s="317"/>
      <c r="R174" s="309"/>
      <c r="S174" s="309"/>
      <c r="T174" s="309"/>
      <c r="U174" s="309"/>
      <c r="V174" s="309"/>
      <c r="W174" s="309"/>
      <c r="X174" s="309"/>
      <c r="Y174" s="309"/>
      <c r="Z174" s="309"/>
      <c r="AA174" s="309"/>
      <c r="AB174" s="309"/>
      <c r="AC174" s="309"/>
      <c r="AD174" s="7"/>
      <c r="AE174" s="7"/>
      <c r="AF174" s="7"/>
    </row>
    <row r="175" ht="13.5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3.55" customHeight="1">
      <c r="A176" s="7"/>
      <c r="B176" s="7"/>
      <c r="C176" s="7"/>
      <c r="D176" s="7"/>
      <c r="E176" s="309"/>
      <c r="F176" s="309"/>
      <c r="G176" s="7"/>
      <c r="H176" s="309"/>
      <c r="I176" s="7"/>
      <c r="J176" s="309"/>
      <c r="K176" s="7"/>
      <c r="L176" s="309"/>
      <c r="M176" s="7"/>
      <c r="N176" s="309"/>
      <c r="O176" s="7"/>
      <c r="P176" s="309"/>
      <c r="Q176" s="7"/>
      <c r="R176" s="309"/>
      <c r="S176" s="309"/>
      <c r="T176" s="309"/>
      <c r="U176" s="309"/>
      <c r="V176" s="309"/>
      <c r="W176" s="309"/>
      <c r="X176" s="309"/>
      <c r="Y176" s="309"/>
      <c r="Z176" s="309"/>
      <c r="AA176" s="309"/>
      <c r="AB176" s="309"/>
      <c r="AC176" s="309"/>
      <c r="AD176" s="7"/>
      <c r="AE176" s="7"/>
      <c r="AF176" s="7"/>
    </row>
    <row r="177" ht="13.55" customHeight="1">
      <c r="A177" s="7"/>
      <c r="B177" s="7"/>
      <c r="C177" s="7"/>
      <c r="D177" s="7"/>
      <c r="E177" s="309"/>
      <c r="F177" s="309"/>
      <c r="G177" s="316"/>
      <c r="H177" s="309"/>
      <c r="I177" s="316"/>
      <c r="J177" s="309"/>
      <c r="K177" s="316"/>
      <c r="L177" s="309"/>
      <c r="M177" s="316"/>
      <c r="N177" s="309"/>
      <c r="O177" s="316"/>
      <c r="P177" s="309"/>
      <c r="Q177" s="316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  <c r="AB177" s="309"/>
      <c r="AC177" s="309"/>
      <c r="AD177" s="7"/>
      <c r="AE177" s="7"/>
      <c r="AF177" s="7"/>
    </row>
    <row r="178" ht="13.55" customHeight="1">
      <c r="A178" s="7"/>
      <c r="B178" s="7"/>
      <c r="C178" s="7"/>
      <c r="D178" s="7"/>
      <c r="E178" s="309"/>
      <c r="F178" s="309"/>
      <c r="G178" s="317"/>
      <c r="H178" s="309"/>
      <c r="I178" s="317"/>
      <c r="J178" s="309"/>
      <c r="K178" s="316"/>
      <c r="L178" s="309"/>
      <c r="M178" s="317"/>
      <c r="N178" s="309"/>
      <c r="O178" s="317"/>
      <c r="P178" s="309"/>
      <c r="Q178" s="318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  <c r="AB178" s="309"/>
      <c r="AC178" s="309"/>
      <c r="AD178" s="7"/>
      <c r="AE178" s="7"/>
      <c r="AF178" s="7"/>
    </row>
    <row r="179" ht="13.55" customHeight="1">
      <c r="A179" s="7"/>
      <c r="B179" s="7"/>
      <c r="C179" s="7"/>
      <c r="D179" s="7"/>
      <c r="E179" s="309"/>
      <c r="F179" s="309"/>
      <c r="G179" s="316"/>
      <c r="H179" s="309"/>
      <c r="I179" s="7"/>
      <c r="J179" s="309"/>
      <c r="K179" s="316"/>
      <c r="L179" s="309"/>
      <c r="M179" s="7"/>
      <c r="N179" s="309"/>
      <c r="O179" s="7"/>
      <c r="P179" s="309"/>
      <c r="Q179" s="7"/>
      <c r="R179" s="309"/>
      <c r="S179" s="309"/>
      <c r="T179" s="309"/>
      <c r="U179" s="309"/>
      <c r="V179" s="309"/>
      <c r="W179" s="309"/>
      <c r="X179" s="309"/>
      <c r="Y179" s="309"/>
      <c r="Z179" s="309"/>
      <c r="AA179" s="309"/>
      <c r="AB179" s="309"/>
      <c r="AC179" s="309"/>
      <c r="AD179" s="7"/>
      <c r="AE179" s="7"/>
      <c r="AF179" s="7"/>
    </row>
    <row r="180" ht="13.55" customHeight="1">
      <c r="A180" s="7"/>
      <c r="B180" s="7"/>
      <c r="C180" s="7"/>
      <c r="D180" s="7"/>
      <c r="E180" s="309"/>
      <c r="F180" s="309"/>
      <c r="G180" s="316"/>
      <c r="H180" s="309"/>
      <c r="I180" s="316"/>
      <c r="J180" s="309"/>
      <c r="K180" s="316"/>
      <c r="L180" s="309"/>
      <c r="M180" s="316"/>
      <c r="N180" s="309"/>
      <c r="O180" s="316"/>
      <c r="P180" s="309"/>
      <c r="Q180" s="316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7"/>
      <c r="AE180" s="7"/>
      <c r="AF180" s="7"/>
    </row>
    <row r="181" ht="13.55" customHeight="1">
      <c r="A181" s="7"/>
      <c r="B181" s="7"/>
      <c r="C181" s="7"/>
      <c r="D181" s="7"/>
      <c r="E181" s="309"/>
      <c r="F181" s="309"/>
      <c r="G181" s="316"/>
      <c r="H181" s="309"/>
      <c r="I181" s="317"/>
      <c r="J181" s="309"/>
      <c r="K181" s="316"/>
      <c r="L181" s="309"/>
      <c r="M181" s="317"/>
      <c r="N181" s="309"/>
      <c r="O181" s="317"/>
      <c r="P181" s="309"/>
      <c r="Q181" s="317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  <c r="AB181" s="309"/>
      <c r="AC181" s="309"/>
      <c r="AD181" s="7"/>
      <c r="AE181" s="7"/>
      <c r="AF181" s="7"/>
    </row>
    <row r="182" ht="13.5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3.55" customHeight="1">
      <c r="A183" s="7"/>
      <c r="B183" s="7"/>
      <c r="C183" s="7"/>
      <c r="D183" s="7"/>
      <c r="E183" s="309"/>
      <c r="F183" s="309"/>
      <c r="G183" s="7"/>
      <c r="H183" s="309"/>
      <c r="I183" s="7"/>
      <c r="J183" s="309"/>
      <c r="K183" s="7"/>
      <c r="L183" s="309"/>
      <c r="M183" s="7"/>
      <c r="N183" s="309"/>
      <c r="O183" s="7"/>
      <c r="P183" s="309"/>
      <c r="Q183" s="7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  <c r="AB183" s="309"/>
      <c r="AC183" s="309"/>
      <c r="AD183" s="7"/>
      <c r="AE183" s="7"/>
      <c r="AF183" s="7"/>
    </row>
    <row r="184" ht="13.55" customHeight="1">
      <c r="A184" s="7"/>
      <c r="B184" s="7"/>
      <c r="C184" s="7"/>
      <c r="D184" s="7"/>
      <c r="E184" s="309"/>
      <c r="F184" s="309"/>
      <c r="G184" s="316"/>
      <c r="H184" s="309"/>
      <c r="I184" s="316"/>
      <c r="J184" s="309"/>
      <c r="K184" s="316"/>
      <c r="L184" s="309"/>
      <c r="M184" s="316"/>
      <c r="N184" s="309"/>
      <c r="O184" s="316"/>
      <c r="P184" s="309"/>
      <c r="Q184" s="316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7"/>
      <c r="AE184" s="7"/>
      <c r="AF184" s="7"/>
    </row>
    <row r="185" ht="13.55" customHeight="1">
      <c r="A185" s="7"/>
      <c r="B185" s="7"/>
      <c r="C185" s="7"/>
      <c r="D185" s="7"/>
      <c r="E185" s="309"/>
      <c r="F185" s="309"/>
      <c r="G185" s="317"/>
      <c r="H185" s="309"/>
      <c r="I185" s="317"/>
      <c r="J185" s="309"/>
      <c r="K185" s="316"/>
      <c r="L185" s="309"/>
      <c r="M185" s="317"/>
      <c r="N185" s="309"/>
      <c r="O185" s="317"/>
      <c r="P185" s="309"/>
      <c r="Q185" s="318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  <c r="AB185" s="309"/>
      <c r="AC185" s="309"/>
      <c r="AD185" s="7"/>
      <c r="AE185" s="7"/>
      <c r="AF185" s="7"/>
    </row>
    <row r="186" ht="13.55" customHeight="1">
      <c r="A186" s="7"/>
      <c r="B186" s="7"/>
      <c r="C186" s="7"/>
      <c r="D186" s="7"/>
      <c r="E186" s="309"/>
      <c r="F186" s="309"/>
      <c r="G186" s="316"/>
      <c r="H186" s="309"/>
      <c r="I186" s="7"/>
      <c r="J186" s="309"/>
      <c r="K186" s="316"/>
      <c r="L186" s="309"/>
      <c r="M186" s="7"/>
      <c r="N186" s="309"/>
      <c r="O186" s="7"/>
      <c r="P186" s="309"/>
      <c r="Q186" s="7"/>
      <c r="R186" s="309"/>
      <c r="S186" s="309"/>
      <c r="T186" s="309"/>
      <c r="U186" s="309"/>
      <c r="V186" s="309"/>
      <c r="W186" s="309"/>
      <c r="X186" s="309"/>
      <c r="Y186" s="309"/>
      <c r="Z186" s="309"/>
      <c r="AA186" s="309"/>
      <c r="AB186" s="309"/>
      <c r="AC186" s="309"/>
      <c r="AD186" s="7"/>
      <c r="AE186" s="7"/>
      <c r="AF186" s="7"/>
    </row>
    <row r="187" ht="13.55" customHeight="1">
      <c r="A187" s="7"/>
      <c r="B187" s="7"/>
      <c r="C187" s="7"/>
      <c r="D187" s="7"/>
      <c r="E187" s="309"/>
      <c r="F187" s="309"/>
      <c r="G187" s="316"/>
      <c r="H187" s="309"/>
      <c r="I187" s="316"/>
      <c r="J187" s="309"/>
      <c r="K187" s="316"/>
      <c r="L187" s="309"/>
      <c r="M187" s="316"/>
      <c r="N187" s="309"/>
      <c r="O187" s="316"/>
      <c r="P187" s="309"/>
      <c r="Q187" s="316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  <c r="AC187" s="309"/>
      <c r="AD187" s="7"/>
      <c r="AE187" s="7"/>
      <c r="AF187" s="7"/>
    </row>
    <row r="188" ht="13.55" customHeight="1">
      <c r="A188" s="7"/>
      <c r="B188" s="7"/>
      <c r="C188" s="7"/>
      <c r="D188" s="7"/>
      <c r="E188" s="309"/>
      <c r="F188" s="309"/>
      <c r="G188" s="316"/>
      <c r="H188" s="309"/>
      <c r="I188" s="317"/>
      <c r="J188" s="309"/>
      <c r="K188" s="316"/>
      <c r="L188" s="309"/>
      <c r="M188" s="317"/>
      <c r="N188" s="309"/>
      <c r="O188" s="317"/>
      <c r="P188" s="309"/>
      <c r="Q188" s="317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  <c r="AB188" s="309"/>
      <c r="AC188" s="309"/>
      <c r="AD188" s="7"/>
      <c r="AE188" s="7"/>
      <c r="AF188" s="7"/>
    </row>
    <row r="189" ht="13.5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3.55" customHeight="1">
      <c r="A190" s="7"/>
      <c r="B190" s="7"/>
      <c r="C190" s="7"/>
      <c r="D190" s="7"/>
      <c r="E190" s="309"/>
      <c r="F190" s="309"/>
      <c r="G190" s="7"/>
      <c r="H190" s="309"/>
      <c r="I190" s="7"/>
      <c r="J190" s="309"/>
      <c r="K190" s="7"/>
      <c r="L190" s="309"/>
      <c r="M190" s="7"/>
      <c r="N190" s="309"/>
      <c r="O190" s="7"/>
      <c r="P190" s="309"/>
      <c r="Q190" s="7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  <c r="AC190" s="309"/>
      <c r="AD190" s="7"/>
      <c r="AE190" s="7"/>
      <c r="AF190" s="7"/>
    </row>
    <row r="191" ht="13.55" customHeight="1">
      <c r="A191" s="7"/>
      <c r="B191" s="7"/>
      <c r="C191" s="7"/>
      <c r="D191" s="7"/>
      <c r="E191" s="309"/>
      <c r="F191" s="309"/>
      <c r="G191" s="316"/>
      <c r="H191" s="309"/>
      <c r="I191" s="316"/>
      <c r="J191" s="309"/>
      <c r="K191" s="316"/>
      <c r="L191" s="309"/>
      <c r="M191" s="316"/>
      <c r="N191" s="309"/>
      <c r="O191" s="316"/>
      <c r="P191" s="309"/>
      <c r="Q191" s="316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  <c r="AC191" s="309"/>
      <c r="AD191" s="7"/>
      <c r="AE191" s="7"/>
      <c r="AF191" s="7"/>
    </row>
    <row r="192" ht="13.55" customHeight="1">
      <c r="A192" s="7"/>
      <c r="B192" s="7"/>
      <c r="C192" s="7"/>
      <c r="D192" s="7"/>
      <c r="E192" s="309"/>
      <c r="F192" s="309"/>
      <c r="G192" s="317"/>
      <c r="H192" s="309"/>
      <c r="I192" s="317"/>
      <c r="J192" s="309"/>
      <c r="K192" s="316"/>
      <c r="L192" s="309"/>
      <c r="M192" s="317"/>
      <c r="N192" s="309"/>
      <c r="O192" s="317"/>
      <c r="P192" s="309"/>
      <c r="Q192" s="318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  <c r="AC192" s="309"/>
      <c r="AD192" s="7"/>
      <c r="AE192" s="7"/>
      <c r="AF192" s="7"/>
    </row>
    <row r="193" ht="13.55" customHeight="1">
      <c r="A193" s="7"/>
      <c r="B193" s="7"/>
      <c r="C193" s="7"/>
      <c r="D193" s="7"/>
      <c r="E193" s="309"/>
      <c r="F193" s="309"/>
      <c r="G193" s="316"/>
      <c r="H193" s="309"/>
      <c r="I193" s="7"/>
      <c r="J193" s="309"/>
      <c r="K193" s="316"/>
      <c r="L193" s="309"/>
      <c r="M193" s="7"/>
      <c r="N193" s="309"/>
      <c r="O193" s="7"/>
      <c r="P193" s="309"/>
      <c r="Q193" s="7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  <c r="AC193" s="309"/>
      <c r="AD193" s="7"/>
      <c r="AE193" s="7"/>
      <c r="AF193" s="7"/>
    </row>
    <row r="194" ht="13.55" customHeight="1">
      <c r="A194" s="7"/>
      <c r="B194" s="7"/>
      <c r="C194" s="7"/>
      <c r="D194" s="7"/>
      <c r="E194" s="309"/>
      <c r="F194" s="309"/>
      <c r="G194" s="316"/>
      <c r="H194" s="309"/>
      <c r="I194" s="316"/>
      <c r="J194" s="309"/>
      <c r="K194" s="316"/>
      <c r="L194" s="309"/>
      <c r="M194" s="316"/>
      <c r="N194" s="309"/>
      <c r="O194" s="316"/>
      <c r="P194" s="309"/>
      <c r="Q194" s="316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  <c r="AC194" s="309"/>
      <c r="AD194" s="7"/>
      <c r="AE194" s="7"/>
      <c r="AF194" s="7"/>
    </row>
    <row r="195" ht="13.55" customHeight="1">
      <c r="A195" s="7"/>
      <c r="B195" s="7"/>
      <c r="C195" s="7"/>
      <c r="D195" s="7"/>
      <c r="E195" s="309"/>
      <c r="F195" s="309"/>
      <c r="G195" s="316"/>
      <c r="H195" s="309"/>
      <c r="I195" s="317"/>
      <c r="J195" s="309"/>
      <c r="K195" s="316"/>
      <c r="L195" s="309"/>
      <c r="M195" s="317"/>
      <c r="N195" s="309"/>
      <c r="O195" s="317"/>
      <c r="P195" s="309"/>
      <c r="Q195" s="317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7"/>
      <c r="AE195" s="7"/>
      <c r="AF195" s="7"/>
    </row>
    <row r="196" ht="13.5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3.55" customHeight="1">
      <c r="A197" s="7"/>
      <c r="B197" s="7"/>
      <c r="C197" s="7"/>
      <c r="D197" s="7"/>
      <c r="E197" s="309"/>
      <c r="F197" s="309"/>
      <c r="G197" s="7"/>
      <c r="H197" s="309"/>
      <c r="I197" s="7"/>
      <c r="J197" s="309"/>
      <c r="K197" s="7"/>
      <c r="L197" s="309"/>
      <c r="M197" s="7"/>
      <c r="N197" s="309"/>
      <c r="O197" s="7"/>
      <c r="P197" s="309"/>
      <c r="Q197" s="7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  <c r="AB197" s="309"/>
      <c r="AC197" s="309"/>
      <c r="AD197" s="7"/>
      <c r="AE197" s="7"/>
      <c r="AF197" s="7"/>
    </row>
    <row r="198" ht="13.55" customHeight="1">
      <c r="A198" s="7"/>
      <c r="B198" s="7"/>
      <c r="C198" s="7"/>
      <c r="D198" s="7"/>
      <c r="E198" s="309"/>
      <c r="F198" s="309"/>
      <c r="G198" s="316"/>
      <c r="H198" s="309"/>
      <c r="I198" s="316"/>
      <c r="J198" s="309"/>
      <c r="K198" s="316"/>
      <c r="L198" s="309"/>
      <c r="M198" s="316"/>
      <c r="N198" s="309"/>
      <c r="O198" s="316"/>
      <c r="P198" s="309"/>
      <c r="Q198" s="316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  <c r="AB198" s="309"/>
      <c r="AC198" s="309"/>
      <c r="AD198" s="7"/>
      <c r="AE198" s="7"/>
      <c r="AF198" s="7"/>
    </row>
    <row r="199" ht="13.55" customHeight="1">
      <c r="A199" s="7"/>
      <c r="B199" s="7"/>
      <c r="C199" s="7"/>
      <c r="D199" s="7"/>
      <c r="E199" s="309"/>
      <c r="F199" s="309"/>
      <c r="G199" s="317"/>
      <c r="H199" s="309"/>
      <c r="I199" s="317"/>
      <c r="J199" s="309"/>
      <c r="K199" s="316"/>
      <c r="L199" s="309"/>
      <c r="M199" s="317"/>
      <c r="N199" s="309"/>
      <c r="O199" s="317"/>
      <c r="P199" s="309"/>
      <c r="Q199" s="318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7"/>
      <c r="AE199" s="7"/>
      <c r="AF199" s="7"/>
    </row>
    <row r="200" ht="13.55" customHeight="1">
      <c r="A200" s="7"/>
      <c r="B200" s="7"/>
      <c r="C200" s="7"/>
      <c r="D200" s="7"/>
      <c r="E200" s="309"/>
      <c r="F200" s="309"/>
      <c r="G200" s="316"/>
      <c r="H200" s="309"/>
      <c r="I200" s="7"/>
      <c r="J200" s="309"/>
      <c r="K200" s="316"/>
      <c r="L200" s="309"/>
      <c r="M200" s="7"/>
      <c r="N200" s="309"/>
      <c r="O200" s="7"/>
      <c r="P200" s="309"/>
      <c r="Q200" s="7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  <c r="AB200" s="309"/>
      <c r="AC200" s="309"/>
      <c r="AD200" s="7"/>
      <c r="AE200" s="7"/>
      <c r="AF200" s="7"/>
    </row>
    <row r="201" ht="13.55" customHeight="1">
      <c r="A201" s="7"/>
      <c r="B201" s="7"/>
      <c r="C201" s="7"/>
      <c r="D201" s="7"/>
      <c r="E201" s="309"/>
      <c r="F201" s="309"/>
      <c r="G201" s="316"/>
      <c r="H201" s="309"/>
      <c r="I201" s="316"/>
      <c r="J201" s="309"/>
      <c r="K201" s="316"/>
      <c r="L201" s="309"/>
      <c r="M201" s="316"/>
      <c r="N201" s="309"/>
      <c r="O201" s="316"/>
      <c r="P201" s="309"/>
      <c r="Q201" s="316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7"/>
      <c r="AE201" s="7"/>
      <c r="AF201" s="7"/>
    </row>
    <row r="202" ht="13.55" customHeight="1">
      <c r="A202" s="7"/>
      <c r="B202" s="7"/>
      <c r="C202" s="7"/>
      <c r="D202" s="7"/>
      <c r="E202" s="309"/>
      <c r="F202" s="309"/>
      <c r="G202" s="316"/>
      <c r="H202" s="309"/>
      <c r="I202" s="317"/>
      <c r="J202" s="309"/>
      <c r="K202" s="316"/>
      <c r="L202" s="309"/>
      <c r="M202" s="317"/>
      <c r="N202" s="309"/>
      <c r="O202" s="317"/>
      <c r="P202" s="309"/>
      <c r="Q202" s="317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  <c r="AB202" s="309"/>
      <c r="AC202" s="309"/>
      <c r="AD202" s="7"/>
      <c r="AE202" s="7"/>
      <c r="AF202" s="7"/>
    </row>
    <row r="203" ht="13.5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3.55" customHeight="1">
      <c r="A204" s="7"/>
      <c r="B204" s="7"/>
      <c r="C204" s="7"/>
      <c r="D204" s="7"/>
      <c r="E204" s="309"/>
      <c r="F204" s="309"/>
      <c r="G204" s="7"/>
      <c r="H204" s="309"/>
      <c r="I204" s="7"/>
      <c r="J204" s="309"/>
      <c r="K204" s="7"/>
      <c r="L204" s="309"/>
      <c r="M204" s="7"/>
      <c r="N204" s="309"/>
      <c r="O204" s="7"/>
      <c r="P204" s="309"/>
      <c r="Q204" s="7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  <c r="AB204" s="309"/>
      <c r="AC204" s="309"/>
      <c r="AD204" s="7"/>
      <c r="AE204" s="7"/>
      <c r="AF204" s="7"/>
    </row>
    <row r="205" ht="13.55" customHeight="1">
      <c r="A205" s="7"/>
      <c r="B205" s="7"/>
      <c r="C205" s="7"/>
      <c r="D205" s="7"/>
      <c r="E205" s="309"/>
      <c r="F205" s="309"/>
      <c r="G205" s="316"/>
      <c r="H205" s="309"/>
      <c r="I205" s="316"/>
      <c r="J205" s="309"/>
      <c r="K205" s="316"/>
      <c r="L205" s="309"/>
      <c r="M205" s="316"/>
      <c r="N205" s="309"/>
      <c r="O205" s="316"/>
      <c r="P205" s="309"/>
      <c r="Q205" s="316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  <c r="AB205" s="309"/>
      <c r="AC205" s="309"/>
      <c r="AD205" s="7"/>
      <c r="AE205" s="7"/>
      <c r="AF205" s="7"/>
    </row>
    <row r="206" ht="13.55" customHeight="1">
      <c r="A206" s="7"/>
      <c r="B206" s="7"/>
      <c r="C206" s="7"/>
      <c r="D206" s="7"/>
      <c r="E206" s="309"/>
      <c r="F206" s="309"/>
      <c r="G206" s="317"/>
      <c r="H206" s="309"/>
      <c r="I206" s="317"/>
      <c r="J206" s="309"/>
      <c r="K206" s="316"/>
      <c r="L206" s="309"/>
      <c r="M206" s="317"/>
      <c r="N206" s="309"/>
      <c r="O206" s="317"/>
      <c r="P206" s="309"/>
      <c r="Q206" s="318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  <c r="AB206" s="309"/>
      <c r="AC206" s="309"/>
      <c r="AD206" s="7"/>
      <c r="AE206" s="7"/>
      <c r="AF206" s="7"/>
    </row>
    <row r="207" ht="13.55" customHeight="1">
      <c r="A207" s="7"/>
      <c r="B207" s="7"/>
      <c r="C207" s="7"/>
      <c r="D207" s="7"/>
      <c r="E207" s="309"/>
      <c r="F207" s="309"/>
      <c r="G207" s="316"/>
      <c r="H207" s="309"/>
      <c r="I207" s="7"/>
      <c r="J207" s="309"/>
      <c r="K207" s="316"/>
      <c r="L207" s="309"/>
      <c r="M207" s="7"/>
      <c r="N207" s="309"/>
      <c r="O207" s="7"/>
      <c r="P207" s="309"/>
      <c r="Q207" s="7"/>
      <c r="R207" s="309"/>
      <c r="S207" s="309"/>
      <c r="T207" s="309"/>
      <c r="U207" s="309"/>
      <c r="V207" s="309"/>
      <c r="W207" s="309"/>
      <c r="X207" s="309"/>
      <c r="Y207" s="309"/>
      <c r="Z207" s="309"/>
      <c r="AA207" s="309"/>
      <c r="AB207" s="309"/>
      <c r="AC207" s="309"/>
      <c r="AD207" s="7"/>
      <c r="AE207" s="7"/>
      <c r="AF207" s="7"/>
    </row>
    <row r="208" ht="13.55" customHeight="1">
      <c r="A208" s="7"/>
      <c r="B208" s="7"/>
      <c r="C208" s="7"/>
      <c r="D208" s="7"/>
      <c r="E208" s="309"/>
      <c r="F208" s="309"/>
      <c r="G208" s="316"/>
      <c r="H208" s="309"/>
      <c r="I208" s="316"/>
      <c r="J208" s="309"/>
      <c r="K208" s="316"/>
      <c r="L208" s="309"/>
      <c r="M208" s="316"/>
      <c r="N208" s="309"/>
      <c r="O208" s="316"/>
      <c r="P208" s="309"/>
      <c r="Q208" s="316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  <c r="AB208" s="309"/>
      <c r="AC208" s="309"/>
      <c r="AD208" s="7"/>
      <c r="AE208" s="7"/>
      <c r="AF208" s="7"/>
    </row>
    <row r="209" ht="13.55" customHeight="1">
      <c r="A209" s="7"/>
      <c r="B209" s="7"/>
      <c r="C209" s="7"/>
      <c r="D209" s="7"/>
      <c r="E209" s="309"/>
      <c r="F209" s="309"/>
      <c r="G209" s="316"/>
      <c r="H209" s="309"/>
      <c r="I209" s="317"/>
      <c r="J209" s="309"/>
      <c r="K209" s="316"/>
      <c r="L209" s="309"/>
      <c r="M209" s="317"/>
      <c r="N209" s="309"/>
      <c r="O209" s="317"/>
      <c r="P209" s="309"/>
      <c r="Q209" s="317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  <c r="AB209" s="309"/>
      <c r="AC209" s="309"/>
      <c r="AD209" s="7"/>
      <c r="AE209" s="7"/>
      <c r="AF209" s="7"/>
    </row>
    <row r="210" ht="13.5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3.55" customHeight="1">
      <c r="A211" s="7"/>
      <c r="B211" s="7"/>
      <c r="C211" s="7"/>
      <c r="D211" s="7"/>
      <c r="E211" s="309"/>
      <c r="F211" s="309"/>
      <c r="G211" s="7"/>
      <c r="H211" s="309"/>
      <c r="I211" s="7"/>
      <c r="J211" s="309"/>
      <c r="K211" s="7"/>
      <c r="L211" s="309"/>
      <c r="M211" s="7"/>
      <c r="N211" s="309"/>
      <c r="O211" s="7"/>
      <c r="P211" s="309"/>
      <c r="Q211" s="7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  <c r="AB211" s="309"/>
      <c r="AC211" s="309"/>
      <c r="AD211" s="7"/>
      <c r="AE211" s="7"/>
      <c r="AF211" s="7"/>
    </row>
    <row r="212" ht="13.55" customHeight="1">
      <c r="A212" s="7"/>
      <c r="B212" s="7"/>
      <c r="C212" s="7"/>
      <c r="D212" s="7"/>
      <c r="E212" s="309"/>
      <c r="F212" s="309"/>
      <c r="G212" s="316"/>
      <c r="H212" s="309"/>
      <c r="I212" s="316"/>
      <c r="J212" s="309"/>
      <c r="K212" s="316"/>
      <c r="L212" s="309"/>
      <c r="M212" s="316"/>
      <c r="N212" s="309"/>
      <c r="O212" s="316"/>
      <c r="P212" s="309"/>
      <c r="Q212" s="316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  <c r="AB212" s="309"/>
      <c r="AC212" s="309"/>
      <c r="AD212" s="7"/>
      <c r="AE212" s="7"/>
      <c r="AF212" s="7"/>
    </row>
    <row r="213" ht="13.55" customHeight="1">
      <c r="A213" s="7"/>
      <c r="B213" s="7"/>
      <c r="C213" s="7"/>
      <c r="D213" s="7"/>
      <c r="E213" s="309"/>
      <c r="F213" s="309"/>
      <c r="G213" s="317"/>
      <c r="H213" s="309"/>
      <c r="I213" s="317"/>
      <c r="J213" s="309"/>
      <c r="K213" s="316"/>
      <c r="L213" s="309"/>
      <c r="M213" s="317"/>
      <c r="N213" s="309"/>
      <c r="O213" s="317"/>
      <c r="P213" s="309"/>
      <c r="Q213" s="318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  <c r="AB213" s="309"/>
      <c r="AC213" s="309"/>
      <c r="AD213" s="7"/>
      <c r="AE213" s="7"/>
      <c r="AF213" s="7"/>
    </row>
    <row r="214" ht="13.55" customHeight="1">
      <c r="A214" s="7"/>
      <c r="B214" s="7"/>
      <c r="C214" s="7"/>
      <c r="D214" s="7"/>
      <c r="E214" s="309"/>
      <c r="F214" s="309"/>
      <c r="G214" s="316"/>
      <c r="H214" s="309"/>
      <c r="I214" s="7"/>
      <c r="J214" s="309"/>
      <c r="K214" s="316"/>
      <c r="L214" s="309"/>
      <c r="M214" s="7"/>
      <c r="N214" s="309"/>
      <c r="O214" s="7"/>
      <c r="P214" s="309"/>
      <c r="Q214" s="7"/>
      <c r="R214" s="309"/>
      <c r="S214" s="309"/>
      <c r="T214" s="309"/>
      <c r="U214" s="309"/>
      <c r="V214" s="309"/>
      <c r="W214" s="309"/>
      <c r="X214" s="309"/>
      <c r="Y214" s="309"/>
      <c r="Z214" s="309"/>
      <c r="AA214" s="309"/>
      <c r="AB214" s="309"/>
      <c r="AC214" s="309"/>
      <c r="AD214" s="7"/>
      <c r="AE214" s="7"/>
      <c r="AF214" s="7"/>
    </row>
    <row r="215" ht="13.55" customHeight="1">
      <c r="A215" s="7"/>
      <c r="B215" s="7"/>
      <c r="C215" s="7"/>
      <c r="D215" s="7"/>
      <c r="E215" s="309"/>
      <c r="F215" s="309"/>
      <c r="G215" s="316"/>
      <c r="H215" s="309"/>
      <c r="I215" s="316"/>
      <c r="J215" s="309"/>
      <c r="K215" s="316"/>
      <c r="L215" s="309"/>
      <c r="M215" s="316"/>
      <c r="N215" s="309"/>
      <c r="O215" s="316"/>
      <c r="P215" s="309"/>
      <c r="Q215" s="316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  <c r="AB215" s="309"/>
      <c r="AC215" s="309"/>
      <c r="AD215" s="7"/>
      <c r="AE215" s="7"/>
      <c r="AF215" s="7"/>
    </row>
    <row r="216" ht="13.55" customHeight="1">
      <c r="A216" s="7"/>
      <c r="B216" s="7"/>
      <c r="C216" s="7"/>
      <c r="D216" s="7"/>
      <c r="E216" s="309"/>
      <c r="F216" s="309"/>
      <c r="G216" s="316"/>
      <c r="H216" s="309"/>
      <c r="I216" s="317"/>
      <c r="J216" s="309"/>
      <c r="K216" s="316"/>
      <c r="L216" s="309"/>
      <c r="M216" s="317"/>
      <c r="N216" s="309"/>
      <c r="O216" s="317"/>
      <c r="P216" s="309"/>
      <c r="Q216" s="317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  <c r="AB216" s="309"/>
      <c r="AC216" s="309"/>
      <c r="AD216" s="7"/>
      <c r="AE216" s="7"/>
      <c r="AF216" s="7"/>
    </row>
    <row r="217" ht="13.5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3.55" customHeight="1">
      <c r="A218" s="7"/>
      <c r="B218" s="7"/>
      <c r="C218" s="7"/>
      <c r="D218" s="7"/>
      <c r="E218" s="309"/>
      <c r="F218" s="309"/>
      <c r="G218" s="7"/>
      <c r="H218" s="309"/>
      <c r="I218" s="7"/>
      <c r="J218" s="309"/>
      <c r="K218" s="7"/>
      <c r="L218" s="309"/>
      <c r="M218" s="7"/>
      <c r="N218" s="309"/>
      <c r="O218" s="7"/>
      <c r="P218" s="309"/>
      <c r="Q218" s="7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7"/>
      <c r="AE218" s="7"/>
      <c r="AF218" s="7"/>
    </row>
    <row r="219" ht="13.55" customHeight="1">
      <c r="A219" s="7"/>
      <c r="B219" s="7"/>
      <c r="C219" s="7"/>
      <c r="D219" s="7"/>
      <c r="E219" s="309"/>
      <c r="F219" s="309"/>
      <c r="G219" s="316"/>
      <c r="H219" s="309"/>
      <c r="I219" s="316"/>
      <c r="J219" s="309"/>
      <c r="K219" s="316"/>
      <c r="L219" s="309"/>
      <c r="M219" s="316"/>
      <c r="N219" s="309"/>
      <c r="O219" s="316"/>
      <c r="P219" s="309"/>
      <c r="Q219" s="316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  <c r="AB219" s="309"/>
      <c r="AC219" s="309"/>
      <c r="AD219" s="7"/>
      <c r="AE219" s="7"/>
      <c r="AF219" s="7"/>
    </row>
    <row r="220" ht="13.55" customHeight="1">
      <c r="A220" s="7"/>
      <c r="B220" s="7"/>
      <c r="C220" s="7"/>
      <c r="D220" s="7"/>
      <c r="E220" s="309"/>
      <c r="F220" s="309"/>
      <c r="G220" s="317"/>
      <c r="H220" s="309"/>
      <c r="I220" s="317"/>
      <c r="J220" s="309"/>
      <c r="K220" s="316"/>
      <c r="L220" s="309"/>
      <c r="M220" s="317"/>
      <c r="N220" s="309"/>
      <c r="O220" s="317"/>
      <c r="P220" s="309"/>
      <c r="Q220" s="318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  <c r="AB220" s="309"/>
      <c r="AC220" s="309"/>
      <c r="AD220" s="7"/>
      <c r="AE220" s="7"/>
      <c r="AF220" s="7"/>
    </row>
    <row r="221" ht="13.55" customHeight="1">
      <c r="A221" s="7"/>
      <c r="B221" s="7"/>
      <c r="C221" s="7"/>
      <c r="D221" s="7"/>
      <c r="E221" s="309"/>
      <c r="F221" s="309"/>
      <c r="G221" s="316"/>
      <c r="H221" s="309"/>
      <c r="I221" s="7"/>
      <c r="J221" s="309"/>
      <c r="K221" s="316"/>
      <c r="L221" s="309"/>
      <c r="M221" s="7"/>
      <c r="N221" s="309"/>
      <c r="O221" s="7"/>
      <c r="P221" s="309"/>
      <c r="Q221" s="7"/>
      <c r="R221" s="309"/>
      <c r="S221" s="309"/>
      <c r="T221" s="309"/>
      <c r="U221" s="309"/>
      <c r="V221" s="309"/>
      <c r="W221" s="309"/>
      <c r="X221" s="309"/>
      <c r="Y221" s="309"/>
      <c r="Z221" s="309"/>
      <c r="AA221" s="309"/>
      <c r="AB221" s="309"/>
      <c r="AC221" s="309"/>
      <c r="AD221" s="7"/>
      <c r="AE221" s="7"/>
      <c r="AF221" s="7"/>
    </row>
    <row r="222" ht="13.55" customHeight="1">
      <c r="A222" s="7"/>
      <c r="B222" s="7"/>
      <c r="C222" s="7"/>
      <c r="D222" s="7"/>
      <c r="E222" s="309"/>
      <c r="F222" s="309"/>
      <c r="G222" s="316"/>
      <c r="H222" s="309"/>
      <c r="I222" s="316"/>
      <c r="J222" s="309"/>
      <c r="K222" s="316"/>
      <c r="L222" s="309"/>
      <c r="M222" s="316"/>
      <c r="N222" s="309"/>
      <c r="O222" s="316"/>
      <c r="P222" s="309"/>
      <c r="Q222" s="316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  <c r="AB222" s="309"/>
      <c r="AC222" s="309"/>
      <c r="AD222" s="7"/>
      <c r="AE222" s="7"/>
      <c r="AF222" s="7"/>
    </row>
    <row r="223" ht="13.55" customHeight="1">
      <c r="A223" s="7"/>
      <c r="B223" s="7"/>
      <c r="C223" s="7"/>
      <c r="D223" s="7"/>
      <c r="E223" s="309"/>
      <c r="F223" s="309"/>
      <c r="G223" s="316"/>
      <c r="H223" s="309"/>
      <c r="I223" s="317"/>
      <c r="J223" s="309"/>
      <c r="K223" s="316"/>
      <c r="L223" s="309"/>
      <c r="M223" s="317"/>
      <c r="N223" s="309"/>
      <c r="O223" s="317"/>
      <c r="P223" s="309"/>
      <c r="Q223" s="317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  <c r="AB223" s="309"/>
      <c r="AC223" s="309"/>
      <c r="AD223" s="7"/>
      <c r="AE223" s="7"/>
      <c r="AF223" s="7"/>
    </row>
    <row r="224" ht="13.5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3.55" customHeight="1">
      <c r="A225" s="7"/>
      <c r="B225" s="7"/>
      <c r="C225" s="7"/>
      <c r="D225" s="7"/>
      <c r="E225" s="309"/>
      <c r="F225" s="309"/>
      <c r="G225" s="7"/>
      <c r="H225" s="309"/>
      <c r="I225" s="7"/>
      <c r="J225" s="309"/>
      <c r="K225" s="7"/>
      <c r="L225" s="309"/>
      <c r="M225" s="7"/>
      <c r="N225" s="309"/>
      <c r="O225" s="7"/>
      <c r="P225" s="309"/>
      <c r="Q225" s="7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  <c r="AB225" s="309"/>
      <c r="AC225" s="309"/>
      <c r="AD225" s="7"/>
      <c r="AE225" s="7"/>
      <c r="AF225" s="7"/>
    </row>
    <row r="226" ht="13.55" customHeight="1">
      <c r="A226" s="7"/>
      <c r="B226" s="7"/>
      <c r="C226" s="7"/>
      <c r="D226" s="7"/>
      <c r="E226" s="309"/>
      <c r="F226" s="309"/>
      <c r="G226" s="316"/>
      <c r="H226" s="309"/>
      <c r="I226" s="316"/>
      <c r="J226" s="309"/>
      <c r="K226" s="316"/>
      <c r="L226" s="309"/>
      <c r="M226" s="316"/>
      <c r="N226" s="309"/>
      <c r="O226" s="316"/>
      <c r="P226" s="309"/>
      <c r="Q226" s="316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  <c r="AB226" s="309"/>
      <c r="AC226" s="309"/>
      <c r="AD226" s="7"/>
      <c r="AE226" s="7"/>
      <c r="AF226" s="7"/>
    </row>
    <row r="227" ht="13.55" customHeight="1">
      <c r="A227" s="7"/>
      <c r="B227" s="7"/>
      <c r="C227" s="7"/>
      <c r="D227" s="7"/>
      <c r="E227" s="309"/>
      <c r="F227" s="309"/>
      <c r="G227" s="317"/>
      <c r="H227" s="309"/>
      <c r="I227" s="317"/>
      <c r="J227" s="309"/>
      <c r="K227" s="316"/>
      <c r="L227" s="309"/>
      <c r="M227" s="317"/>
      <c r="N227" s="309"/>
      <c r="O227" s="317"/>
      <c r="P227" s="309"/>
      <c r="Q227" s="318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309"/>
      <c r="AD227" s="7"/>
      <c r="AE227" s="7"/>
      <c r="AF227" s="7"/>
    </row>
    <row r="228" ht="13.55" customHeight="1">
      <c r="A228" s="7"/>
      <c r="B228" s="7"/>
      <c r="C228" s="7"/>
      <c r="D228" s="7"/>
      <c r="E228" s="309"/>
      <c r="F228" s="309"/>
      <c r="G228" s="316"/>
      <c r="H228" s="309"/>
      <c r="I228" s="7"/>
      <c r="J228" s="309"/>
      <c r="K228" s="316"/>
      <c r="L228" s="309"/>
      <c r="M228" s="7"/>
      <c r="N228" s="309"/>
      <c r="O228" s="7"/>
      <c r="P228" s="309"/>
      <c r="Q228" s="7"/>
      <c r="R228" s="309"/>
      <c r="S228" s="309"/>
      <c r="T228" s="309"/>
      <c r="U228" s="309"/>
      <c r="V228" s="309"/>
      <c r="W228" s="309"/>
      <c r="X228" s="309"/>
      <c r="Y228" s="309"/>
      <c r="Z228" s="309"/>
      <c r="AA228" s="309"/>
      <c r="AB228" s="309"/>
      <c r="AC228" s="309"/>
      <c r="AD228" s="7"/>
      <c r="AE228" s="7"/>
      <c r="AF228" s="7"/>
    </row>
    <row r="229" ht="13.55" customHeight="1">
      <c r="A229" s="7"/>
      <c r="B229" s="7"/>
      <c r="C229" s="7"/>
      <c r="D229" s="7"/>
      <c r="E229" s="309"/>
      <c r="F229" s="309"/>
      <c r="G229" s="316"/>
      <c r="H229" s="309"/>
      <c r="I229" s="316"/>
      <c r="J229" s="309"/>
      <c r="K229" s="316"/>
      <c r="L229" s="309"/>
      <c r="M229" s="316"/>
      <c r="N229" s="309"/>
      <c r="O229" s="316"/>
      <c r="P229" s="309"/>
      <c r="Q229" s="316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309"/>
      <c r="AD229" s="7"/>
      <c r="AE229" s="7"/>
      <c r="AF229" s="7"/>
    </row>
    <row r="230" ht="13.55" customHeight="1">
      <c r="A230" s="7"/>
      <c r="B230" s="7"/>
      <c r="C230" s="7"/>
      <c r="D230" s="7"/>
      <c r="E230" s="309"/>
      <c r="F230" s="309"/>
      <c r="G230" s="316"/>
      <c r="H230" s="309"/>
      <c r="I230" s="317"/>
      <c r="J230" s="309"/>
      <c r="K230" s="316"/>
      <c r="L230" s="309"/>
      <c r="M230" s="317"/>
      <c r="N230" s="309"/>
      <c r="O230" s="317"/>
      <c r="P230" s="309"/>
      <c r="Q230" s="317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309"/>
      <c r="AD230" s="7"/>
      <c r="AE230" s="7"/>
      <c r="AF230" s="7"/>
    </row>
    <row r="231" ht="13.5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3.55" customHeight="1">
      <c r="A232" s="7"/>
      <c r="B232" s="7"/>
      <c r="C232" s="7"/>
      <c r="D232" s="7"/>
      <c r="E232" s="309"/>
      <c r="F232" s="309"/>
      <c r="G232" s="7"/>
      <c r="H232" s="309"/>
      <c r="I232" s="7"/>
      <c r="J232" s="309"/>
      <c r="K232" s="7"/>
      <c r="L232" s="309"/>
      <c r="M232" s="7"/>
      <c r="N232" s="309"/>
      <c r="O232" s="7"/>
      <c r="P232" s="309"/>
      <c r="Q232" s="7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  <c r="AB232" s="309"/>
      <c r="AC232" s="309"/>
      <c r="AD232" s="7"/>
      <c r="AE232" s="7"/>
      <c r="AF232" s="7"/>
    </row>
    <row r="233" ht="13.55" customHeight="1">
      <c r="A233" s="7"/>
      <c r="B233" s="7"/>
      <c r="C233" s="7"/>
      <c r="D233" s="7"/>
      <c r="E233" s="309"/>
      <c r="F233" s="309"/>
      <c r="G233" s="316"/>
      <c r="H233" s="309"/>
      <c r="I233" s="316"/>
      <c r="J233" s="309"/>
      <c r="K233" s="316"/>
      <c r="L233" s="309"/>
      <c r="M233" s="316"/>
      <c r="N233" s="309"/>
      <c r="O233" s="316"/>
      <c r="P233" s="309"/>
      <c r="Q233" s="316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  <c r="AB233" s="309"/>
      <c r="AC233" s="309"/>
      <c r="AD233" s="7"/>
      <c r="AE233" s="7"/>
      <c r="AF233" s="7"/>
    </row>
    <row r="234" ht="13.55" customHeight="1">
      <c r="A234" s="7"/>
      <c r="B234" s="7"/>
      <c r="C234" s="7"/>
      <c r="D234" s="7"/>
      <c r="E234" s="309"/>
      <c r="F234" s="309"/>
      <c r="G234" s="317"/>
      <c r="H234" s="309"/>
      <c r="I234" s="317"/>
      <c r="J234" s="309"/>
      <c r="K234" s="316"/>
      <c r="L234" s="309"/>
      <c r="M234" s="317"/>
      <c r="N234" s="309"/>
      <c r="O234" s="317"/>
      <c r="P234" s="309"/>
      <c r="Q234" s="318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7"/>
      <c r="AE234" s="7"/>
      <c r="AF234" s="7"/>
    </row>
    <row r="235" ht="13.55" customHeight="1">
      <c r="A235" s="7"/>
      <c r="B235" s="7"/>
      <c r="C235" s="7"/>
      <c r="D235" s="7"/>
      <c r="E235" s="309"/>
      <c r="F235" s="309"/>
      <c r="G235" s="316"/>
      <c r="H235" s="309"/>
      <c r="I235" s="7"/>
      <c r="J235" s="309"/>
      <c r="K235" s="316"/>
      <c r="L235" s="309"/>
      <c r="M235" s="7"/>
      <c r="N235" s="309"/>
      <c r="O235" s="7"/>
      <c r="P235" s="309"/>
      <c r="Q235" s="7"/>
      <c r="R235" s="309"/>
      <c r="S235" s="309"/>
      <c r="T235" s="309"/>
      <c r="U235" s="309"/>
      <c r="V235" s="309"/>
      <c r="W235" s="309"/>
      <c r="X235" s="309"/>
      <c r="Y235" s="309"/>
      <c r="Z235" s="309"/>
      <c r="AA235" s="309"/>
      <c r="AB235" s="309"/>
      <c r="AC235" s="309"/>
      <c r="AD235" s="7"/>
      <c r="AE235" s="7"/>
      <c r="AF235" s="7"/>
    </row>
    <row r="236" ht="13.55" customHeight="1">
      <c r="A236" s="7"/>
      <c r="B236" s="7"/>
      <c r="C236" s="7"/>
      <c r="D236" s="7"/>
      <c r="E236" s="309"/>
      <c r="F236" s="309"/>
      <c r="G236" s="316"/>
      <c r="H236" s="309"/>
      <c r="I236" s="316"/>
      <c r="J236" s="309"/>
      <c r="K236" s="316"/>
      <c r="L236" s="309"/>
      <c r="M236" s="316"/>
      <c r="N236" s="309"/>
      <c r="O236" s="316"/>
      <c r="P236" s="309"/>
      <c r="Q236" s="316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  <c r="AB236" s="309"/>
      <c r="AC236" s="309"/>
      <c r="AD236" s="7"/>
      <c r="AE236" s="7"/>
      <c r="AF236" s="7"/>
    </row>
    <row r="237" ht="13.55" customHeight="1">
      <c r="A237" s="7"/>
      <c r="B237" s="7"/>
      <c r="C237" s="7"/>
      <c r="D237" s="7"/>
      <c r="E237" s="309"/>
      <c r="F237" s="309"/>
      <c r="G237" s="316"/>
      <c r="H237" s="309"/>
      <c r="I237" s="317"/>
      <c r="J237" s="309"/>
      <c r="K237" s="316"/>
      <c r="L237" s="309"/>
      <c r="M237" s="317"/>
      <c r="N237" s="309"/>
      <c r="O237" s="317"/>
      <c r="P237" s="309"/>
      <c r="Q237" s="317"/>
      <c r="R237" s="309"/>
      <c r="S237" s="309"/>
      <c r="T237" s="309"/>
      <c r="U237" s="309"/>
      <c r="V237" s="309"/>
      <c r="W237" s="309"/>
      <c r="X237" s="309"/>
      <c r="Y237" s="309"/>
      <c r="Z237" s="309"/>
      <c r="AA237" s="309"/>
      <c r="AB237" s="309"/>
      <c r="AC237" s="309"/>
      <c r="AD237" s="7"/>
      <c r="AE237" s="7"/>
      <c r="AF237" s="7"/>
    </row>
    <row r="238" ht="13.5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3.55" customHeight="1">
      <c r="A239" s="7"/>
      <c r="B239" s="7"/>
      <c r="C239" s="7"/>
      <c r="D239" s="7"/>
      <c r="E239" s="309"/>
      <c r="F239" s="309"/>
      <c r="G239" s="7"/>
      <c r="H239" s="309"/>
      <c r="I239" s="7"/>
      <c r="J239" s="309"/>
      <c r="K239" s="7"/>
      <c r="L239" s="309"/>
      <c r="M239" s="7"/>
      <c r="N239" s="309"/>
      <c r="O239" s="7"/>
      <c r="P239" s="309"/>
      <c r="Q239" s="7"/>
      <c r="R239" s="309"/>
      <c r="S239" s="309"/>
      <c r="T239" s="309"/>
      <c r="U239" s="309"/>
      <c r="V239" s="309"/>
      <c r="W239" s="309"/>
      <c r="X239" s="309"/>
      <c r="Y239" s="309"/>
      <c r="Z239" s="309"/>
      <c r="AA239" s="309"/>
      <c r="AB239" s="309"/>
      <c r="AC239" s="309"/>
      <c r="AD239" s="7"/>
      <c r="AE239" s="7"/>
      <c r="AF239" s="7"/>
    </row>
    <row r="240" ht="13.55" customHeight="1">
      <c r="A240" s="7"/>
      <c r="B240" s="7"/>
      <c r="C240" s="7"/>
      <c r="D240" s="7"/>
      <c r="E240" s="309"/>
      <c r="F240" s="309"/>
      <c r="G240" s="316"/>
      <c r="H240" s="309"/>
      <c r="I240" s="316"/>
      <c r="J240" s="309"/>
      <c r="K240" s="316"/>
      <c r="L240" s="309"/>
      <c r="M240" s="316"/>
      <c r="N240" s="309"/>
      <c r="O240" s="316"/>
      <c r="P240" s="309"/>
      <c r="Q240" s="316"/>
      <c r="R240" s="309"/>
      <c r="S240" s="309"/>
      <c r="T240" s="309"/>
      <c r="U240" s="309"/>
      <c r="V240" s="309"/>
      <c r="W240" s="309"/>
      <c r="X240" s="309"/>
      <c r="Y240" s="309"/>
      <c r="Z240" s="309"/>
      <c r="AA240" s="309"/>
      <c r="AB240" s="309"/>
      <c r="AC240" s="309"/>
      <c r="AD240" s="7"/>
      <c r="AE240" s="7"/>
      <c r="AF240" s="7"/>
    </row>
    <row r="241" ht="13.55" customHeight="1">
      <c r="A241" s="7"/>
      <c r="B241" s="7"/>
      <c r="C241" s="7"/>
      <c r="D241" s="7"/>
      <c r="E241" s="309"/>
      <c r="F241" s="309"/>
      <c r="G241" s="317"/>
      <c r="H241" s="309"/>
      <c r="I241" s="317"/>
      <c r="J241" s="309"/>
      <c r="K241" s="316"/>
      <c r="L241" s="309"/>
      <c r="M241" s="317"/>
      <c r="N241" s="309"/>
      <c r="O241" s="317"/>
      <c r="P241" s="309"/>
      <c r="Q241" s="318"/>
      <c r="R241" s="309"/>
      <c r="S241" s="309"/>
      <c r="T241" s="309"/>
      <c r="U241" s="309"/>
      <c r="V241" s="309"/>
      <c r="W241" s="309"/>
      <c r="X241" s="309"/>
      <c r="Y241" s="309"/>
      <c r="Z241" s="309"/>
      <c r="AA241" s="309"/>
      <c r="AB241" s="309"/>
      <c r="AC241" s="309"/>
      <c r="AD241" s="7"/>
      <c r="AE241" s="7"/>
      <c r="AF241" s="7"/>
    </row>
    <row r="242" ht="13.55" customHeight="1">
      <c r="A242" s="7"/>
      <c r="B242" s="7"/>
      <c r="C242" s="7"/>
      <c r="D242" s="7"/>
      <c r="E242" s="309"/>
      <c r="F242" s="309"/>
      <c r="G242" s="316"/>
      <c r="H242" s="309"/>
      <c r="I242" s="7"/>
      <c r="J242" s="309"/>
      <c r="K242" s="316"/>
      <c r="L242" s="309"/>
      <c r="M242" s="7"/>
      <c r="N242" s="309"/>
      <c r="O242" s="7"/>
      <c r="P242" s="309"/>
      <c r="Q242" s="7"/>
      <c r="R242" s="309"/>
      <c r="S242" s="309"/>
      <c r="T242" s="309"/>
      <c r="U242" s="309"/>
      <c r="V242" s="309"/>
      <c r="W242" s="309"/>
      <c r="X242" s="309"/>
      <c r="Y242" s="309"/>
      <c r="Z242" s="309"/>
      <c r="AA242" s="309"/>
      <c r="AB242" s="309"/>
      <c r="AC242" s="309"/>
      <c r="AD242" s="7"/>
      <c r="AE242" s="7"/>
      <c r="AF242" s="7"/>
    </row>
    <row r="243" ht="13.55" customHeight="1">
      <c r="A243" s="7"/>
      <c r="B243" s="7"/>
      <c r="C243" s="7"/>
      <c r="D243" s="7"/>
      <c r="E243" s="309"/>
      <c r="F243" s="309"/>
      <c r="G243" s="316"/>
      <c r="H243" s="309"/>
      <c r="I243" s="316"/>
      <c r="J243" s="309"/>
      <c r="K243" s="316"/>
      <c r="L243" s="309"/>
      <c r="M243" s="316"/>
      <c r="N243" s="309"/>
      <c r="O243" s="316"/>
      <c r="P243" s="309"/>
      <c r="Q243" s="316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7"/>
      <c r="AE243" s="7"/>
      <c r="AF243" s="7"/>
    </row>
    <row r="244" ht="13.55" customHeight="1">
      <c r="A244" s="7"/>
      <c r="B244" s="7"/>
      <c r="C244" s="7"/>
      <c r="D244" s="7"/>
      <c r="E244" s="309"/>
      <c r="F244" s="309"/>
      <c r="G244" s="316"/>
      <c r="H244" s="309"/>
      <c r="I244" s="317"/>
      <c r="J244" s="309"/>
      <c r="K244" s="316"/>
      <c r="L244" s="309"/>
      <c r="M244" s="317"/>
      <c r="N244" s="309"/>
      <c r="O244" s="317"/>
      <c r="P244" s="309"/>
      <c r="Q244" s="317"/>
      <c r="R244" s="309"/>
      <c r="S244" s="309"/>
      <c r="T244" s="309"/>
      <c r="U244" s="309"/>
      <c r="V244" s="309"/>
      <c r="W244" s="309"/>
      <c r="X244" s="309"/>
      <c r="Y244" s="309"/>
      <c r="Z244" s="309"/>
      <c r="AA244" s="309"/>
      <c r="AB244" s="309"/>
      <c r="AC244" s="309"/>
      <c r="AD244" s="7"/>
      <c r="AE244" s="7"/>
      <c r="AF244" s="7"/>
    </row>
    <row r="245" ht="13.5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3.55" customHeight="1">
      <c r="A246" s="7"/>
      <c r="B246" s="7"/>
      <c r="C246" s="7"/>
      <c r="D246" s="7"/>
      <c r="E246" s="309"/>
      <c r="F246" s="309"/>
      <c r="G246" s="7"/>
      <c r="H246" s="309"/>
      <c r="I246" s="7"/>
      <c r="J246" s="309"/>
      <c r="K246" s="7"/>
      <c r="L246" s="309"/>
      <c r="M246" s="7"/>
      <c r="N246" s="309"/>
      <c r="O246" s="7"/>
      <c r="P246" s="309"/>
      <c r="Q246" s="7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  <c r="AB246" s="309"/>
      <c r="AC246" s="309"/>
      <c r="AD246" s="7"/>
      <c r="AE246" s="7"/>
      <c r="AF246" s="7"/>
    </row>
    <row r="247" ht="13.55" customHeight="1">
      <c r="A247" s="7"/>
      <c r="B247" s="7"/>
      <c r="C247" s="7"/>
      <c r="D247" s="7"/>
      <c r="E247" s="309"/>
      <c r="F247" s="309"/>
      <c r="G247" s="316"/>
      <c r="H247" s="309"/>
      <c r="I247" s="316"/>
      <c r="J247" s="309"/>
      <c r="K247" s="316"/>
      <c r="L247" s="309"/>
      <c r="M247" s="316"/>
      <c r="N247" s="309"/>
      <c r="O247" s="316"/>
      <c r="P247" s="309"/>
      <c r="Q247" s="316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7"/>
      <c r="AE247" s="7"/>
      <c r="AF247" s="7"/>
    </row>
    <row r="248" ht="13.55" customHeight="1">
      <c r="A248" s="7"/>
      <c r="B248" s="7"/>
      <c r="C248" s="7"/>
      <c r="D248" s="7"/>
      <c r="E248" s="309"/>
      <c r="F248" s="309"/>
      <c r="G248" s="317"/>
      <c r="H248" s="309"/>
      <c r="I248" s="317"/>
      <c r="J248" s="309"/>
      <c r="K248" s="316"/>
      <c r="L248" s="309"/>
      <c r="M248" s="317"/>
      <c r="N248" s="309"/>
      <c r="O248" s="317"/>
      <c r="P248" s="309"/>
      <c r="Q248" s="318"/>
      <c r="R248" s="309"/>
      <c r="S248" s="309"/>
      <c r="T248" s="309"/>
      <c r="U248" s="309"/>
      <c r="V248" s="309"/>
      <c r="W248" s="309"/>
      <c r="X248" s="309"/>
      <c r="Y248" s="309"/>
      <c r="Z248" s="309"/>
      <c r="AA248" s="309"/>
      <c r="AB248" s="309"/>
      <c r="AC248" s="309"/>
      <c r="AD248" s="7"/>
      <c r="AE248" s="7"/>
      <c r="AF248" s="7"/>
    </row>
    <row r="249" ht="13.55" customHeight="1">
      <c r="A249" s="7"/>
      <c r="B249" s="7"/>
      <c r="C249" s="7"/>
      <c r="D249" s="7"/>
      <c r="E249" s="309"/>
      <c r="F249" s="309"/>
      <c r="G249" s="316"/>
      <c r="H249" s="309"/>
      <c r="I249" s="7"/>
      <c r="J249" s="309"/>
      <c r="K249" s="316"/>
      <c r="L249" s="309"/>
      <c r="M249" s="7"/>
      <c r="N249" s="309"/>
      <c r="O249" s="7"/>
      <c r="P249" s="309"/>
      <c r="Q249" s="7"/>
      <c r="R249" s="309"/>
      <c r="S249" s="309"/>
      <c r="T249" s="309"/>
      <c r="U249" s="309"/>
      <c r="V249" s="309"/>
      <c r="W249" s="309"/>
      <c r="X249" s="309"/>
      <c r="Y249" s="309"/>
      <c r="Z249" s="309"/>
      <c r="AA249" s="309"/>
      <c r="AB249" s="309"/>
      <c r="AC249" s="309"/>
      <c r="AD249" s="7"/>
      <c r="AE249" s="7"/>
      <c r="AF249" s="7"/>
    </row>
    <row r="250" ht="13.55" customHeight="1">
      <c r="A250" s="7"/>
      <c r="B250" s="7"/>
      <c r="C250" s="7"/>
      <c r="D250" s="7"/>
      <c r="E250" s="309"/>
      <c r="F250" s="309"/>
      <c r="G250" s="316"/>
      <c r="H250" s="309"/>
      <c r="I250" s="316"/>
      <c r="J250" s="309"/>
      <c r="K250" s="316"/>
      <c r="L250" s="309"/>
      <c r="M250" s="316"/>
      <c r="N250" s="309"/>
      <c r="O250" s="316"/>
      <c r="P250" s="309"/>
      <c r="Q250" s="316"/>
      <c r="R250" s="309"/>
      <c r="S250" s="309"/>
      <c r="T250" s="309"/>
      <c r="U250" s="309"/>
      <c r="V250" s="309"/>
      <c r="W250" s="309"/>
      <c r="X250" s="309"/>
      <c r="Y250" s="309"/>
      <c r="Z250" s="309"/>
      <c r="AA250" s="309"/>
      <c r="AB250" s="309"/>
      <c r="AC250" s="309"/>
      <c r="AD250" s="7"/>
      <c r="AE250" s="7"/>
      <c r="AF250" s="7"/>
    </row>
    <row r="251" ht="13.55" customHeight="1">
      <c r="A251" s="7"/>
      <c r="B251" s="7"/>
      <c r="C251" s="7"/>
      <c r="D251" s="7"/>
      <c r="E251" s="309"/>
      <c r="F251" s="309"/>
      <c r="G251" s="316"/>
      <c r="H251" s="309"/>
      <c r="I251" s="317"/>
      <c r="J251" s="309"/>
      <c r="K251" s="316"/>
      <c r="L251" s="309"/>
      <c r="M251" s="317"/>
      <c r="N251" s="309"/>
      <c r="O251" s="317"/>
      <c r="P251" s="309"/>
      <c r="Q251" s="317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7"/>
      <c r="AE251" s="7"/>
      <c r="AF251" s="7"/>
    </row>
    <row r="252" ht="13.5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3.55" customHeight="1">
      <c r="A253" s="7"/>
      <c r="B253" s="7"/>
      <c r="C253" s="7"/>
      <c r="D253" s="7"/>
      <c r="E253" s="309"/>
      <c r="F253" s="309"/>
      <c r="G253" s="7"/>
      <c r="H253" s="309"/>
      <c r="I253" s="7"/>
      <c r="J253" s="309"/>
      <c r="K253" s="7"/>
      <c r="L253" s="309"/>
      <c r="M253" s="7"/>
      <c r="N253" s="309"/>
      <c r="O253" s="7"/>
      <c r="P253" s="309"/>
      <c r="Q253" s="7"/>
      <c r="R253" s="309"/>
      <c r="S253" s="309"/>
      <c r="T253" s="309"/>
      <c r="U253" s="309"/>
      <c r="V253" s="309"/>
      <c r="W253" s="309"/>
      <c r="X253" s="309"/>
      <c r="Y253" s="309"/>
      <c r="Z253" s="309"/>
      <c r="AA253" s="309"/>
      <c r="AB253" s="309"/>
      <c r="AC253" s="309"/>
      <c r="AD253" s="7"/>
      <c r="AE253" s="7"/>
      <c r="AF253" s="7"/>
    </row>
    <row r="254" ht="13.55" customHeight="1">
      <c r="A254" s="7"/>
      <c r="B254" s="7"/>
      <c r="C254" s="7"/>
      <c r="D254" s="7"/>
      <c r="E254" s="309"/>
      <c r="F254" s="309"/>
      <c r="G254" s="316"/>
      <c r="H254" s="309"/>
      <c r="I254" s="316"/>
      <c r="J254" s="309"/>
      <c r="K254" s="316"/>
      <c r="L254" s="309"/>
      <c r="M254" s="316"/>
      <c r="N254" s="309"/>
      <c r="O254" s="316"/>
      <c r="P254" s="309"/>
      <c r="Q254" s="316"/>
      <c r="R254" s="309"/>
      <c r="S254" s="309"/>
      <c r="T254" s="309"/>
      <c r="U254" s="309"/>
      <c r="V254" s="309"/>
      <c r="W254" s="309"/>
      <c r="X254" s="309"/>
      <c r="Y254" s="309"/>
      <c r="Z254" s="309"/>
      <c r="AA254" s="309"/>
      <c r="AB254" s="309"/>
      <c r="AC254" s="309"/>
      <c r="AD254" s="7"/>
      <c r="AE254" s="7"/>
      <c r="AF254" s="7"/>
    </row>
    <row r="255" ht="13.55" customHeight="1">
      <c r="A255" s="7"/>
      <c r="B255" s="7"/>
      <c r="C255" s="7"/>
      <c r="D255" s="7"/>
      <c r="E255" s="309"/>
      <c r="F255" s="309"/>
      <c r="G255" s="317"/>
      <c r="H255" s="309"/>
      <c r="I255" s="317"/>
      <c r="J255" s="309"/>
      <c r="K255" s="316"/>
      <c r="L255" s="309"/>
      <c r="M255" s="317"/>
      <c r="N255" s="309"/>
      <c r="O255" s="317"/>
      <c r="P255" s="309"/>
      <c r="Q255" s="318"/>
      <c r="R255" s="309"/>
      <c r="S255" s="309"/>
      <c r="T255" s="309"/>
      <c r="U255" s="309"/>
      <c r="V255" s="309"/>
      <c r="W255" s="309"/>
      <c r="X255" s="309"/>
      <c r="Y255" s="309"/>
      <c r="Z255" s="309"/>
      <c r="AA255" s="309"/>
      <c r="AB255" s="309"/>
      <c r="AC255" s="309"/>
      <c r="AD255" s="7"/>
      <c r="AE255" s="7"/>
      <c r="AF255" s="7"/>
    </row>
    <row r="256" ht="13.55" customHeight="1">
      <c r="A256" s="7"/>
      <c r="B256" s="7"/>
      <c r="C256" s="7"/>
      <c r="D256" s="7"/>
      <c r="E256" s="309"/>
      <c r="F256" s="309"/>
      <c r="G256" s="316"/>
      <c r="H256" s="309"/>
      <c r="I256" s="7"/>
      <c r="J256" s="309"/>
      <c r="K256" s="316"/>
      <c r="L256" s="309"/>
      <c r="M256" s="7"/>
      <c r="N256" s="309"/>
      <c r="O256" s="7"/>
      <c r="P256" s="309"/>
      <c r="Q256" s="7"/>
      <c r="R256" s="309"/>
      <c r="S256" s="309"/>
      <c r="T256" s="309"/>
      <c r="U256" s="309"/>
      <c r="V256" s="309"/>
      <c r="W256" s="309"/>
      <c r="X256" s="309"/>
      <c r="Y256" s="309"/>
      <c r="Z256" s="309"/>
      <c r="AA256" s="309"/>
      <c r="AB256" s="309"/>
      <c r="AC256" s="309"/>
      <c r="AD256" s="7"/>
      <c r="AE256" s="7"/>
      <c r="AF256" s="7"/>
    </row>
    <row r="257" ht="13.55" customHeight="1">
      <c r="A257" s="7"/>
      <c r="B257" s="7"/>
      <c r="C257" s="7"/>
      <c r="D257" s="7"/>
      <c r="E257" s="309"/>
      <c r="F257" s="309"/>
      <c r="G257" s="316"/>
      <c r="H257" s="309"/>
      <c r="I257" s="316"/>
      <c r="J257" s="309"/>
      <c r="K257" s="316"/>
      <c r="L257" s="309"/>
      <c r="M257" s="316"/>
      <c r="N257" s="309"/>
      <c r="O257" s="316"/>
      <c r="P257" s="309"/>
      <c r="Q257" s="316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  <c r="AB257" s="309"/>
      <c r="AC257" s="309"/>
      <c r="AD257" s="7"/>
      <c r="AE257" s="7"/>
      <c r="AF257" s="7"/>
    </row>
    <row r="258" ht="13.55" customHeight="1">
      <c r="A258" s="7"/>
      <c r="B258" s="7"/>
      <c r="C258" s="7"/>
      <c r="D258" s="7"/>
      <c r="E258" s="309"/>
      <c r="F258" s="309"/>
      <c r="G258" s="316"/>
      <c r="H258" s="309"/>
      <c r="I258" s="317"/>
      <c r="J258" s="309"/>
      <c r="K258" s="316"/>
      <c r="L258" s="309"/>
      <c r="M258" s="317"/>
      <c r="N258" s="309"/>
      <c r="O258" s="317"/>
      <c r="P258" s="309"/>
      <c r="Q258" s="317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7"/>
      <c r="AE258" s="7"/>
      <c r="AF258" s="7"/>
    </row>
  </sheetData>
  <mergeCells count="44">
    <mergeCell ref="A150:A155"/>
    <mergeCell ref="A129:A134"/>
    <mergeCell ref="A136:A141"/>
    <mergeCell ref="A66:A71"/>
    <mergeCell ref="A73:A78"/>
    <mergeCell ref="A80:A85"/>
    <mergeCell ref="A87:A92"/>
    <mergeCell ref="A94:A99"/>
    <mergeCell ref="A143:A148"/>
    <mergeCell ref="A101:A106"/>
    <mergeCell ref="A122:A127"/>
    <mergeCell ref="A108:A113"/>
    <mergeCell ref="A115:A120"/>
    <mergeCell ref="AB2:AC2"/>
    <mergeCell ref="L2:M2"/>
    <mergeCell ref="N2:O2"/>
    <mergeCell ref="P2:Q2"/>
    <mergeCell ref="R2:S2"/>
    <mergeCell ref="T2:U2"/>
    <mergeCell ref="V2:W2"/>
    <mergeCell ref="X2:Y2"/>
    <mergeCell ref="Z2:AA2"/>
    <mergeCell ref="K76:K78"/>
    <mergeCell ref="K83:K85"/>
    <mergeCell ref="K48:K50"/>
    <mergeCell ref="K62:K64"/>
    <mergeCell ref="A45:A50"/>
    <mergeCell ref="A52:A57"/>
    <mergeCell ref="A59:A64"/>
    <mergeCell ref="A1:K1"/>
    <mergeCell ref="F2:G2"/>
    <mergeCell ref="H2:I2"/>
    <mergeCell ref="J2:K2"/>
    <mergeCell ref="K69:K71"/>
    <mergeCell ref="K6:K8"/>
    <mergeCell ref="K13:K15"/>
    <mergeCell ref="K20:K22"/>
    <mergeCell ref="K41:K43"/>
    <mergeCell ref="A10:A15"/>
    <mergeCell ref="A17:A22"/>
    <mergeCell ref="A24:A29"/>
    <mergeCell ref="A31:A36"/>
    <mergeCell ref="A38:A43"/>
    <mergeCell ref="A3:A8"/>
  </mergeCells>
  <pageMargins left="0.1" right="0.12" top="0.5" bottom="0.49" header="0.3" footer="0.3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AF264"/>
  <sheetViews>
    <sheetView workbookViewId="0" showGridLines="0" defaultGridColor="1"/>
  </sheetViews>
  <sheetFormatPr defaultColWidth="8.83333" defaultRowHeight="15" customHeight="1" outlineLevelRow="0" outlineLevelCol="0"/>
  <cols>
    <col min="1" max="1" width="5.35156" style="319" customWidth="1"/>
    <col min="2" max="2" width="17.5" style="319" customWidth="1"/>
    <col min="3" max="3" width="12.8516" style="319" customWidth="1"/>
    <col min="4" max="4" width="5.67188" style="319" customWidth="1"/>
    <col min="5" max="5" width="7.17188" style="319" customWidth="1"/>
    <col min="6" max="6" width="5.35156" style="319" customWidth="1"/>
    <col min="7" max="7" width="7.5" style="319" customWidth="1"/>
    <col min="8" max="8" width="5.5" style="319" customWidth="1"/>
    <col min="9" max="9" width="7.5" style="319" customWidth="1"/>
    <col min="10" max="10" width="5.5" style="319" customWidth="1"/>
    <col min="11" max="11" width="7.67188" style="319" customWidth="1"/>
    <col min="12" max="12" width="5.85156" style="319" customWidth="1"/>
    <col min="13" max="13" width="6.5" style="319" customWidth="1"/>
    <col min="14" max="14" width="5.67188" style="319" customWidth="1"/>
    <col min="15" max="15" width="6.5" style="319" customWidth="1"/>
    <col min="16" max="16" width="6" style="319" customWidth="1"/>
    <col min="17" max="17" width="6.67188" style="319" customWidth="1"/>
    <col min="18" max="18" width="6" style="319" customWidth="1"/>
    <col min="19" max="19" width="6.85156" style="319" customWidth="1"/>
    <col min="20" max="20" width="5.85156" style="319" customWidth="1"/>
    <col min="21" max="21" width="6.17188" style="319" customWidth="1"/>
    <col min="22" max="22" width="5.5" style="319" customWidth="1"/>
    <col min="23" max="29" width="7.5" style="319" customWidth="1"/>
    <col min="30" max="30" width="12" style="319" customWidth="1"/>
    <col min="31" max="31" width="11.1719" style="319" customWidth="1"/>
    <col min="32" max="32" width="8.85156" style="319" customWidth="1"/>
    <col min="33" max="16384" width="8.85156" style="319" customWidth="1"/>
  </cols>
  <sheetData>
    <row r="1" ht="24.75" customHeight="1">
      <c r="A1" t="s" s="268">
        <v>582</v>
      </c>
      <c r="B1" s="269"/>
      <c r="C1" s="320"/>
      <c r="D1" s="320"/>
      <c r="E1" s="270"/>
      <c r="F1" s="270"/>
      <c r="G1" s="270"/>
      <c r="H1" s="270"/>
      <c r="I1" s="270"/>
      <c r="J1" s="270"/>
      <c r="K1" s="270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321"/>
      <c r="AE1" s="273"/>
      <c r="AF1" s="7"/>
    </row>
    <row r="2" ht="16.5" customHeight="1">
      <c r="A2" t="s" s="8">
        <v>1</v>
      </c>
      <c r="B2" t="s" s="8">
        <v>2</v>
      </c>
      <c r="C2" s="322"/>
      <c r="D2" s="322"/>
      <c r="E2" s="274"/>
      <c r="F2" s="275">
        <v>46113</v>
      </c>
      <c r="G2" s="276"/>
      <c r="H2" s="275">
        <v>46143</v>
      </c>
      <c r="I2" s="276"/>
      <c r="J2" s="275">
        <v>46174</v>
      </c>
      <c r="K2" s="276"/>
      <c r="L2" s="275">
        <v>46204</v>
      </c>
      <c r="M2" s="276"/>
      <c r="N2" s="275">
        <v>46235</v>
      </c>
      <c r="O2" s="276"/>
      <c r="P2" s="275">
        <v>46266</v>
      </c>
      <c r="Q2" s="276"/>
      <c r="R2" s="275">
        <v>46296</v>
      </c>
      <c r="S2" s="276"/>
      <c r="T2" s="275">
        <v>46327</v>
      </c>
      <c r="U2" s="276"/>
      <c r="V2" s="275">
        <v>46357</v>
      </c>
      <c r="W2" s="276"/>
      <c r="X2" s="275">
        <v>46388</v>
      </c>
      <c r="Y2" s="276"/>
      <c r="Z2" s="275">
        <v>46419</v>
      </c>
      <c r="AA2" s="276"/>
      <c r="AB2" s="275">
        <v>46447</v>
      </c>
      <c r="AC2" s="276"/>
      <c r="AD2" t="s" s="323">
        <v>3</v>
      </c>
      <c r="AE2" s="177"/>
      <c r="AF2" s="7"/>
    </row>
    <row r="3" ht="13.75" customHeight="1">
      <c r="A3" s="254">
        <v>1</v>
      </c>
      <c r="B3" t="s" s="130">
        <v>583</v>
      </c>
      <c r="C3" s="9"/>
      <c r="D3" s="9"/>
      <c r="E3" t="s" s="8">
        <v>5</v>
      </c>
      <c r="F3" t="s" s="8">
        <v>6</v>
      </c>
      <c r="G3" s="16">
        <v>1078</v>
      </c>
      <c r="H3" t="s" s="8">
        <v>6</v>
      </c>
      <c r="I3" s="16">
        <v>3193</v>
      </c>
      <c r="J3" t="s" s="8">
        <v>6</v>
      </c>
      <c r="K3" s="16">
        <v>3193</v>
      </c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8">
        <v>6</v>
      </c>
      <c r="Y3" s="18"/>
      <c r="Z3" t="s" s="243">
        <v>6</v>
      </c>
      <c r="AA3" s="18"/>
      <c r="AB3" t="s" s="243">
        <v>6</v>
      </c>
      <c r="AC3" s="18"/>
      <c r="AD3" s="23"/>
      <c r="AE3" s="13"/>
      <c r="AF3" s="7"/>
    </row>
    <row r="4" ht="13.55" customHeight="1">
      <c r="A4" s="255"/>
      <c r="B4" s="27"/>
      <c r="C4" s="27"/>
      <c r="D4" s="27"/>
      <c r="E4" s="9"/>
      <c r="F4" t="s" s="8">
        <v>8</v>
      </c>
      <c r="G4" s="26">
        <v>1300</v>
      </c>
      <c r="H4" t="s" s="8">
        <v>8</v>
      </c>
      <c r="I4" s="26">
        <v>1300</v>
      </c>
      <c r="J4" t="s" s="8">
        <v>8</v>
      </c>
      <c r="K4" s="26">
        <v>1300</v>
      </c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7"/>
      <c r="Z4" t="s" s="243">
        <v>8</v>
      </c>
      <c r="AA4" s="27"/>
      <c r="AB4" t="s" s="243">
        <v>8</v>
      </c>
      <c r="AC4" s="27"/>
      <c r="AD4" s="31" cm="1">
        <f t="array" ref="AD4">G4+I4+K4+M4+O4+Q4+S4+U4+W4+Y4+AA4+AC4</f>
        <v>3900</v>
      </c>
      <c r="AE4" s="50" cm="1">
        <f t="array" ref="AE4">1200*12</f>
        <v>14400</v>
      </c>
      <c r="AF4" s="51" cm="1">
        <f t="array" ref="AF4">AE4-AD4</f>
        <v>10500</v>
      </c>
    </row>
    <row r="5" ht="13.55" customHeight="1">
      <c r="A5" s="255"/>
      <c r="B5" s="27"/>
      <c r="C5" t="s" s="8">
        <v>9</v>
      </c>
      <c r="D5" s="26">
        <v>1000</v>
      </c>
      <c r="E5" s="9"/>
      <c r="F5" t="s" s="8">
        <v>10</v>
      </c>
      <c r="G5" t="s" s="33">
        <v>17</v>
      </c>
      <c r="H5" t="s" s="8">
        <v>10</v>
      </c>
      <c r="I5" t="s" s="33">
        <v>24</v>
      </c>
      <c r="J5" t="s" s="8">
        <v>10</v>
      </c>
      <c r="K5" t="s" s="33">
        <v>24</v>
      </c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s="34"/>
      <c r="Z5" t="s" s="243">
        <v>10</v>
      </c>
      <c r="AA5" s="34"/>
      <c r="AB5" t="s" s="243">
        <v>10</v>
      </c>
      <c r="AC5" s="34"/>
      <c r="AD5" s="23"/>
      <c r="AE5" s="13"/>
      <c r="AF5" s="7"/>
    </row>
    <row r="6" ht="13.75" customHeight="1">
      <c r="A6" s="255"/>
      <c r="B6" t="s" s="8">
        <v>584</v>
      </c>
      <c r="C6" s="9"/>
      <c r="D6" s="9"/>
      <c r="E6" t="s" s="8">
        <v>14</v>
      </c>
      <c r="F6" t="s" s="8">
        <v>6</v>
      </c>
      <c r="G6" s="16">
        <v>2018</v>
      </c>
      <c r="H6" t="s" s="8">
        <v>6</v>
      </c>
      <c r="I6" s="16">
        <v>2169</v>
      </c>
      <c r="J6" t="s" s="8">
        <v>6</v>
      </c>
      <c r="K6" s="40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8">
        <v>6</v>
      </c>
      <c r="Y6" s="18"/>
      <c r="Z6" t="s" s="243">
        <v>6</v>
      </c>
      <c r="AA6" s="18"/>
      <c r="AB6" t="s" s="243">
        <v>6</v>
      </c>
      <c r="AC6" s="18"/>
      <c r="AD6" s="23"/>
      <c r="AE6" s="13"/>
      <c r="AF6" s="7"/>
    </row>
    <row r="7" ht="13.55" customHeight="1">
      <c r="A7" s="255"/>
      <c r="B7" t="s" s="8">
        <v>585</v>
      </c>
      <c r="C7" s="9"/>
      <c r="D7" s="9"/>
      <c r="E7" s="9"/>
      <c r="F7" t="s" s="8">
        <v>8</v>
      </c>
      <c r="G7" s="26">
        <v>1200</v>
      </c>
      <c r="H7" t="s" s="8">
        <v>8</v>
      </c>
      <c r="I7" s="26">
        <v>1200</v>
      </c>
      <c r="J7" t="s" s="8">
        <v>8</v>
      </c>
      <c r="K7" s="41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7"/>
      <c r="Z7" t="s" s="243">
        <v>8</v>
      </c>
      <c r="AA7" s="27"/>
      <c r="AB7" t="s" s="243">
        <v>8</v>
      </c>
      <c r="AC7" s="27"/>
      <c r="AD7" s="23" cm="1">
        <f t="array" ref="AD7">G7+I7+K7+M7+O7+Q7+S7+U7+W7+Y7+AA7+AC7</f>
      </c>
      <c r="AE7" s="50" cm="1">
        <f t="array" ref="AE7">1100*11</f>
        <v>12100</v>
      </c>
      <c r="AF7" s="7" cm="1">
        <f t="array" ref="AF7">AE7-AD7</f>
      </c>
    </row>
    <row r="8" ht="13.55" customHeight="1">
      <c r="A8" s="255"/>
      <c r="B8" s="9"/>
      <c r="C8" s="9"/>
      <c r="D8" s="9"/>
      <c r="E8" s="9"/>
      <c r="F8" t="s" s="8">
        <v>10</v>
      </c>
      <c r="G8" t="s" s="33">
        <v>17</v>
      </c>
      <c r="H8" t="s" s="8">
        <v>10</v>
      </c>
      <c r="I8" t="s" s="33">
        <v>24</v>
      </c>
      <c r="J8" t="s" s="8">
        <v>10</v>
      </c>
      <c r="K8" s="45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s="34"/>
      <c r="Z8" t="s" s="243">
        <v>10</v>
      </c>
      <c r="AA8" s="34"/>
      <c r="AB8" t="s" s="243">
        <v>10</v>
      </c>
      <c r="AC8" s="34"/>
      <c r="AD8" s="23"/>
      <c r="AE8" s="13"/>
      <c r="AF8" s="7"/>
    </row>
    <row r="9" ht="13.55" customHeight="1">
      <c r="A9" s="253"/>
      <c r="B9" s="9"/>
      <c r="C9" s="9"/>
      <c r="D9" s="9"/>
      <c r="E9" s="9"/>
      <c r="F9" s="9"/>
      <c r="G9" s="27"/>
      <c r="H9" s="9"/>
      <c r="I9" s="9"/>
      <c r="J9" s="9"/>
      <c r="K9" s="2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253"/>
      <c r="Z9" s="253"/>
      <c r="AA9" s="253"/>
      <c r="AB9" s="253"/>
      <c r="AC9" s="253"/>
      <c r="AD9" s="23"/>
      <c r="AE9" s="13"/>
      <c r="AF9" s="7"/>
    </row>
    <row r="10" ht="13.75" customHeight="1">
      <c r="A10" s="254">
        <v>2</v>
      </c>
      <c r="B10" t="s" s="130">
        <v>586</v>
      </c>
      <c r="C10" s="9"/>
      <c r="D10" s="9"/>
      <c r="E10" t="s" s="8">
        <v>5</v>
      </c>
      <c r="F10" t="s" s="8">
        <v>6</v>
      </c>
      <c r="G10" s="16">
        <v>1070</v>
      </c>
      <c r="H10" t="s" s="8">
        <v>6</v>
      </c>
      <c r="I10" s="18"/>
      <c r="J10" t="s" s="8">
        <v>6</v>
      </c>
      <c r="K10" s="18"/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8"/>
      <c r="Z10" t="s" s="243">
        <v>6</v>
      </c>
      <c r="AA10" s="18"/>
      <c r="AB10" t="s" s="243">
        <v>6</v>
      </c>
      <c r="AC10" s="18"/>
      <c r="AD10" s="23"/>
      <c r="AE10" s="13"/>
      <c r="AF10" s="7"/>
    </row>
    <row r="11" ht="13.55" customHeight="1">
      <c r="A11" s="255"/>
      <c r="B11" s="27"/>
      <c r="C11" s="27"/>
      <c r="D11" s="27"/>
      <c r="E11" s="9"/>
      <c r="F11" t="s" s="8">
        <v>8</v>
      </c>
      <c r="G11" s="26">
        <v>1300</v>
      </c>
      <c r="H11" t="s" s="8">
        <v>8</v>
      </c>
      <c r="I11" s="27"/>
      <c r="J11" t="s" s="8">
        <v>8</v>
      </c>
      <c r="K11" s="27"/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243">
        <v>8</v>
      </c>
      <c r="AA11" s="27"/>
      <c r="AB11" t="s" s="243">
        <v>8</v>
      </c>
      <c r="AC11" s="27"/>
      <c r="AD11" s="31" cm="1">
        <f t="array" ref="AD11">G11+I11+K11+M11+O11+Q11+S11+U11+W11+Y11+AA11+AC11</f>
        <v>1300</v>
      </c>
      <c r="AE11" s="50" cm="1">
        <f t="array" ref="AE11">1200*12</f>
        <v>14400</v>
      </c>
      <c r="AF11" s="51" cm="1">
        <f t="array" ref="AF11">AE11-AD11</f>
        <v>13100</v>
      </c>
    </row>
    <row r="12" ht="13.55" customHeight="1">
      <c r="A12" s="255"/>
      <c r="B12" s="27"/>
      <c r="C12" t="s" s="8">
        <v>9</v>
      </c>
      <c r="D12" s="26">
        <v>1000</v>
      </c>
      <c r="E12" s="9"/>
      <c r="F12" t="s" s="8">
        <v>10</v>
      </c>
      <c r="G12" t="s" s="33">
        <v>17</v>
      </c>
      <c r="H12" t="s" s="8">
        <v>10</v>
      </c>
      <c r="I12" s="34"/>
      <c r="J12" t="s" s="8">
        <v>10</v>
      </c>
      <c r="K12" s="34"/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243">
        <v>10</v>
      </c>
      <c r="AA12" s="34"/>
      <c r="AB12" t="s" s="243">
        <v>10</v>
      </c>
      <c r="AC12" s="34"/>
      <c r="AD12" s="23"/>
      <c r="AE12" s="13"/>
      <c r="AF12" s="7"/>
    </row>
    <row r="13" ht="13.75" customHeight="1">
      <c r="A13" s="255"/>
      <c r="B13" t="s" s="8">
        <v>587</v>
      </c>
      <c r="C13" s="9"/>
      <c r="D13" s="9"/>
      <c r="E13" t="s" s="8">
        <v>14</v>
      </c>
      <c r="F13" t="s" s="8">
        <v>6</v>
      </c>
      <c r="G13" s="18"/>
      <c r="H13" t="s" s="8">
        <v>6</v>
      </c>
      <c r="I13" s="18"/>
      <c r="J13" t="s" s="8">
        <v>6</v>
      </c>
      <c r="K13" s="40"/>
      <c r="L13" t="s" s="8">
        <v>6</v>
      </c>
      <c r="M13" s="76"/>
      <c r="N13" t="s" s="8">
        <v>6</v>
      </c>
      <c r="O13" s="18"/>
      <c r="P13" t="s" s="8">
        <v>6</v>
      </c>
      <c r="Q13" s="18"/>
      <c r="R13" t="s" s="8">
        <v>6</v>
      </c>
      <c r="S13" s="18"/>
      <c r="T13" t="s" s="8">
        <v>6</v>
      </c>
      <c r="U13" s="18"/>
      <c r="V13" t="s" s="8">
        <v>6</v>
      </c>
      <c r="W13" s="18"/>
      <c r="X13" t="s" s="8">
        <v>6</v>
      </c>
      <c r="Y13" s="18"/>
      <c r="Z13" t="s" s="243">
        <v>6</v>
      </c>
      <c r="AA13" s="18"/>
      <c r="AB13" t="s" s="243">
        <v>6</v>
      </c>
      <c r="AC13" s="18"/>
      <c r="AD13" s="23"/>
      <c r="AE13" s="13"/>
      <c r="AF13" s="7"/>
    </row>
    <row r="14" ht="13.55" customHeight="1">
      <c r="A14" s="255"/>
      <c r="B14" t="s" s="8">
        <v>588</v>
      </c>
      <c r="C14" s="9"/>
      <c r="D14" s="9"/>
      <c r="E14" s="9"/>
      <c r="F14" t="s" s="8">
        <v>8</v>
      </c>
      <c r="G14" s="27"/>
      <c r="H14" t="s" s="8">
        <v>8</v>
      </c>
      <c r="I14" s="27"/>
      <c r="J14" t="s" s="8">
        <v>8</v>
      </c>
      <c r="K14" s="41"/>
      <c r="L14" t="s" s="8">
        <v>8</v>
      </c>
      <c r="M14" s="7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8">
        <v>8</v>
      </c>
      <c r="Y14" s="27"/>
      <c r="Z14" t="s" s="243">
        <v>8</v>
      </c>
      <c r="AA14" s="27"/>
      <c r="AB14" t="s" s="243">
        <v>8</v>
      </c>
      <c r="AC14" s="27"/>
      <c r="AD14" s="23" cm="1">
        <f t="array" ref="AD14">G14+I14+K14+M14+O14+Q14+S14+U14+W14+Y14+AA14+AC14</f>
      </c>
      <c r="AE14" s="50" cm="1">
        <f t="array" ref="AE14">500*11</f>
        <v>5500</v>
      </c>
      <c r="AF14" s="7" cm="1">
        <f t="array" ref="AF14">AE14-AD14</f>
      </c>
    </row>
    <row r="15" ht="13.55" customHeight="1">
      <c r="A15" s="255"/>
      <c r="B15" s="9"/>
      <c r="C15" s="9"/>
      <c r="D15" s="9"/>
      <c r="E15" s="9"/>
      <c r="F15" t="s" s="8">
        <v>10</v>
      </c>
      <c r="G15" s="34"/>
      <c r="H15" t="s" s="8">
        <v>10</v>
      </c>
      <c r="I15" s="34"/>
      <c r="J15" t="s" s="8">
        <v>10</v>
      </c>
      <c r="K15" s="45"/>
      <c r="L15" t="s" s="8">
        <v>10</v>
      </c>
      <c r="M15" s="78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8">
        <v>10</v>
      </c>
      <c r="Y15" s="34"/>
      <c r="Z15" t="s" s="243">
        <v>10</v>
      </c>
      <c r="AA15" s="34"/>
      <c r="AB15" t="s" s="243">
        <v>10</v>
      </c>
      <c r="AC15" s="34"/>
      <c r="AD15" s="23"/>
      <c r="AE15" s="13"/>
      <c r="AF15" s="7"/>
    </row>
    <row r="16" ht="13.55" customHeight="1">
      <c r="A16" s="253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253"/>
      <c r="Z16" s="253"/>
      <c r="AA16" s="253"/>
      <c r="AB16" s="253"/>
      <c r="AC16" s="253"/>
      <c r="AD16" s="23"/>
      <c r="AE16" s="13"/>
      <c r="AF16" s="7"/>
    </row>
    <row r="17" ht="13.55" customHeight="1">
      <c r="A17" s="254">
        <v>3</v>
      </c>
      <c r="B17" t="s" s="130">
        <v>589</v>
      </c>
      <c r="C17" s="9"/>
      <c r="D17" s="9"/>
      <c r="E17" t="s" s="8">
        <v>5</v>
      </c>
      <c r="F17" t="s" s="8">
        <v>6</v>
      </c>
      <c r="G17" s="132">
        <v>1172</v>
      </c>
      <c r="H17" t="s" s="8">
        <v>6</v>
      </c>
      <c r="I17" s="131"/>
      <c r="J17" t="s" s="8">
        <v>6</v>
      </c>
      <c r="K17" s="131"/>
      <c r="L17" t="s" s="8">
        <v>6</v>
      </c>
      <c r="M17" s="131"/>
      <c r="N17" t="s" s="8">
        <v>6</v>
      </c>
      <c r="O17" s="131"/>
      <c r="P17" t="s" s="8">
        <v>6</v>
      </c>
      <c r="Q17" s="131"/>
      <c r="R17" t="s" s="8">
        <v>6</v>
      </c>
      <c r="S17" s="131"/>
      <c r="T17" t="s" s="8">
        <v>6</v>
      </c>
      <c r="U17" s="131"/>
      <c r="V17" t="s" s="8">
        <v>6</v>
      </c>
      <c r="W17" s="131"/>
      <c r="X17" t="s" s="8">
        <v>6</v>
      </c>
      <c r="Y17" s="131"/>
      <c r="Z17" t="s" s="243">
        <v>6</v>
      </c>
      <c r="AA17" s="131"/>
      <c r="AB17" t="s" s="243">
        <v>6</v>
      </c>
      <c r="AC17" s="131"/>
      <c r="AD17" s="23"/>
      <c r="AE17" s="13"/>
      <c r="AF17" s="7"/>
    </row>
    <row r="18" ht="13.55" customHeight="1">
      <c r="A18" s="255"/>
      <c r="B18" s="27"/>
      <c r="C18" s="27"/>
      <c r="D18" s="27"/>
      <c r="E18" s="9"/>
      <c r="F18" t="s" s="8">
        <v>8</v>
      </c>
      <c r="G18" s="26">
        <v>1300</v>
      </c>
      <c r="H18" t="s" s="8">
        <v>8</v>
      </c>
      <c r="I18" s="27"/>
      <c r="J18" t="s" s="8">
        <v>8</v>
      </c>
      <c r="K18" s="27"/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7"/>
      <c r="Z18" t="s" s="243">
        <v>8</v>
      </c>
      <c r="AA18" s="27"/>
      <c r="AB18" t="s" s="243">
        <v>8</v>
      </c>
      <c r="AC18" s="27"/>
      <c r="AD18" s="31" cm="1">
        <f t="array" ref="AD18">G18+I18+K18+M18+O18+Q18+S18+U18+W18+Y18+AA18+AC18</f>
        <v>1300</v>
      </c>
      <c r="AE18" s="50" cm="1">
        <f t="array" ref="AE18">1200*12</f>
        <v>14400</v>
      </c>
      <c r="AF18" s="51" cm="1">
        <f t="array" ref="AF18">AE18-AD18</f>
        <v>13100</v>
      </c>
    </row>
    <row r="19" ht="13.55" customHeight="1">
      <c r="A19" s="255"/>
      <c r="B19" s="27"/>
      <c r="C19" t="s" s="8">
        <v>9</v>
      </c>
      <c r="D19" s="26">
        <v>1000</v>
      </c>
      <c r="E19" s="9"/>
      <c r="F19" t="s" s="8">
        <v>10</v>
      </c>
      <c r="G19" t="s" s="33">
        <v>70</v>
      </c>
      <c r="H19" t="s" s="8">
        <v>10</v>
      </c>
      <c r="I19" s="34"/>
      <c r="J19" t="s" s="8">
        <v>10</v>
      </c>
      <c r="K19" s="34"/>
      <c r="L19" t="s" s="8">
        <v>10</v>
      </c>
      <c r="M19" s="46"/>
      <c r="N19" t="s" s="8">
        <v>10</v>
      </c>
      <c r="O19" s="46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s="34"/>
      <c r="Z19" t="s" s="243">
        <v>10</v>
      </c>
      <c r="AA19" s="34"/>
      <c r="AB19" t="s" s="243">
        <v>10</v>
      </c>
      <c r="AC19" s="34"/>
      <c r="AD19" s="23"/>
      <c r="AE19" s="13"/>
      <c r="AF19" s="7"/>
    </row>
    <row r="20" ht="13.55" customHeight="1">
      <c r="A20" s="255"/>
      <c r="B20" t="s" s="8">
        <v>590</v>
      </c>
      <c r="C20" s="9"/>
      <c r="D20" s="9"/>
      <c r="E20" t="s" s="8">
        <v>14</v>
      </c>
      <c r="F20" t="s" s="8">
        <v>6</v>
      </c>
      <c r="G20" s="324">
        <v>2087</v>
      </c>
      <c r="H20" t="s" s="8">
        <v>6</v>
      </c>
      <c r="I20" s="9"/>
      <c r="J20" t="s" s="8">
        <v>6</v>
      </c>
      <c r="K20" s="40"/>
      <c r="L20" t="s" s="8">
        <v>6</v>
      </c>
      <c r="M20" s="9"/>
      <c r="N20" t="s" s="8">
        <v>6</v>
      </c>
      <c r="O20" s="131"/>
      <c r="P20" t="s" s="8">
        <v>6</v>
      </c>
      <c r="Q20" s="131"/>
      <c r="R20" t="s" s="8">
        <v>6</v>
      </c>
      <c r="S20" s="131"/>
      <c r="T20" t="s" s="8">
        <v>6</v>
      </c>
      <c r="U20" s="131"/>
      <c r="V20" t="s" s="8">
        <v>6</v>
      </c>
      <c r="W20" s="131"/>
      <c r="X20" t="s" s="8">
        <v>6</v>
      </c>
      <c r="Y20" s="131"/>
      <c r="Z20" t="s" s="243">
        <v>6</v>
      </c>
      <c r="AA20" s="131"/>
      <c r="AB20" t="s" s="243">
        <v>6</v>
      </c>
      <c r="AC20" s="131"/>
      <c r="AD20" s="23"/>
      <c r="AE20" s="13"/>
      <c r="AF20" s="7"/>
    </row>
    <row r="21" ht="13.55" customHeight="1">
      <c r="A21" s="255"/>
      <c r="B21" t="s" s="8">
        <v>591</v>
      </c>
      <c r="C21" s="9"/>
      <c r="D21" s="9"/>
      <c r="E21" s="9"/>
      <c r="F21" t="s" s="8">
        <v>8</v>
      </c>
      <c r="G21" s="26">
        <v>800</v>
      </c>
      <c r="H21" t="s" s="8">
        <v>8</v>
      </c>
      <c r="I21" s="27"/>
      <c r="J21" t="s" s="8">
        <v>8</v>
      </c>
      <c r="K21" s="41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8">
        <v>8</v>
      </c>
      <c r="Y21" s="27"/>
      <c r="Z21" t="s" s="243">
        <v>8</v>
      </c>
      <c r="AA21" s="27"/>
      <c r="AB21" t="s" s="243">
        <v>8</v>
      </c>
      <c r="AC21" s="27"/>
      <c r="AD21" s="23" cm="1">
        <f t="array" ref="AD21">G21+I21+K21+M21+O21+Q21+S21+U21+W21+Y21+AA21+AC21</f>
      </c>
      <c r="AE21" s="50" cm="1">
        <f t="array" ref="AE21">700*11</f>
        <v>7700</v>
      </c>
      <c r="AF21" s="7" cm="1">
        <f t="array" ref="AF21">AE21-AD21</f>
      </c>
    </row>
    <row r="22" ht="13.55" customHeight="1">
      <c r="A22" s="255"/>
      <c r="B22" s="9"/>
      <c r="C22" s="9"/>
      <c r="D22" s="9"/>
      <c r="E22" s="9"/>
      <c r="F22" t="s" s="8">
        <v>10</v>
      </c>
      <c r="G22" t="s" s="33">
        <v>70</v>
      </c>
      <c r="H22" t="s" s="8">
        <v>10</v>
      </c>
      <c r="I22" s="34"/>
      <c r="J22" t="s" s="8">
        <v>10</v>
      </c>
      <c r="K22" s="4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8">
        <v>10</v>
      </c>
      <c r="Y22" s="34"/>
      <c r="Z22" t="s" s="243">
        <v>10</v>
      </c>
      <c r="AA22" s="34"/>
      <c r="AB22" t="s" s="243">
        <v>10</v>
      </c>
      <c r="AC22" s="34"/>
      <c r="AD22" s="23"/>
      <c r="AE22" s="13"/>
      <c r="AF22" s="7"/>
    </row>
    <row r="23" ht="13.55" customHeight="1">
      <c r="A23" s="253"/>
      <c r="B23" s="9"/>
      <c r="C23" s="9"/>
      <c r="D23" s="9"/>
      <c r="E23" s="9"/>
      <c r="F23" s="9"/>
      <c r="G23" s="27"/>
      <c r="H23" s="9"/>
      <c r="I23" s="34"/>
      <c r="J23" s="9"/>
      <c r="K23" s="27"/>
      <c r="L23" s="9"/>
      <c r="M23" s="34"/>
      <c r="N23" s="9"/>
      <c r="O23" s="34"/>
      <c r="P23" s="9"/>
      <c r="Q23" s="34"/>
      <c r="R23" s="9"/>
      <c r="S23" s="9"/>
      <c r="T23" s="9"/>
      <c r="U23" s="9"/>
      <c r="V23" s="9"/>
      <c r="W23" s="9"/>
      <c r="X23" s="9"/>
      <c r="Y23" s="253"/>
      <c r="Z23" s="253"/>
      <c r="AA23" s="253"/>
      <c r="AB23" s="253"/>
      <c r="AC23" s="253"/>
      <c r="AD23" s="23"/>
      <c r="AE23" s="13"/>
      <c r="AF23" s="7"/>
    </row>
    <row r="24" ht="13.75" customHeight="1">
      <c r="A24" s="254">
        <v>4</v>
      </c>
      <c r="B24" t="s" s="130">
        <v>592</v>
      </c>
      <c r="C24" s="9"/>
      <c r="D24" s="9"/>
      <c r="E24" t="s" s="8">
        <v>5</v>
      </c>
      <c r="F24" t="s" s="8">
        <v>6</v>
      </c>
      <c r="G24" s="16">
        <v>1140</v>
      </c>
      <c r="H24" t="s" s="8">
        <v>6</v>
      </c>
      <c r="I24" s="16">
        <v>3182</v>
      </c>
      <c r="J24" t="s" s="8">
        <v>6</v>
      </c>
      <c r="K24" s="131"/>
      <c r="L24" t="s" s="8">
        <v>6</v>
      </c>
      <c r="M24" s="131"/>
      <c r="N24" t="s" s="8">
        <v>6</v>
      </c>
      <c r="O24" s="131"/>
      <c r="P24" t="s" s="8">
        <v>6</v>
      </c>
      <c r="Q24" s="131"/>
      <c r="R24" t="s" s="8">
        <v>6</v>
      </c>
      <c r="S24" s="131"/>
      <c r="T24" t="s" s="8">
        <v>6</v>
      </c>
      <c r="U24" s="131"/>
      <c r="V24" t="s" s="8">
        <v>6</v>
      </c>
      <c r="W24" s="131"/>
      <c r="X24" t="s" s="8">
        <v>6</v>
      </c>
      <c r="Y24" s="131"/>
      <c r="Z24" t="s" s="243">
        <v>6</v>
      </c>
      <c r="AA24" s="131"/>
      <c r="AB24" t="s" s="243">
        <v>6</v>
      </c>
      <c r="AC24" s="131"/>
      <c r="AD24" s="23"/>
      <c r="AE24" s="13"/>
      <c r="AF24" s="7"/>
    </row>
    <row r="25" ht="13.55" customHeight="1">
      <c r="A25" s="255"/>
      <c r="B25" s="27"/>
      <c r="C25" s="27"/>
      <c r="D25" s="27"/>
      <c r="E25" s="9"/>
      <c r="F25" t="s" s="8">
        <v>8</v>
      </c>
      <c r="G25" s="26">
        <v>1300</v>
      </c>
      <c r="H25" t="s" s="8">
        <v>8</v>
      </c>
      <c r="I25" s="26">
        <v>1300</v>
      </c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7"/>
      <c r="Z25" t="s" s="243">
        <v>8</v>
      </c>
      <c r="AA25" s="27"/>
      <c r="AB25" t="s" s="243">
        <v>8</v>
      </c>
      <c r="AC25" s="27"/>
      <c r="AD25" s="31" cm="1">
        <f t="array" ref="AD25">G25+I25+K25+M25+O25+Q25+S25+U25+W25+Y25+AA25+AC25</f>
        <v>2600</v>
      </c>
      <c r="AE25" s="50" cm="1">
        <f t="array" ref="AE25">1200*12</f>
        <v>14400</v>
      </c>
      <c r="AF25" s="51" cm="1">
        <f t="array" ref="AF25">AE25-AD25</f>
        <v>11800</v>
      </c>
    </row>
    <row r="26" ht="13.55" customHeight="1">
      <c r="A26" s="255"/>
      <c r="B26" s="27"/>
      <c r="C26" t="s" s="8">
        <v>9</v>
      </c>
      <c r="D26" s="26">
        <v>1000</v>
      </c>
      <c r="E26" s="9"/>
      <c r="F26" t="s" s="8">
        <v>10</v>
      </c>
      <c r="G26" t="s" s="33">
        <v>31</v>
      </c>
      <c r="H26" t="s" s="8">
        <v>10</v>
      </c>
      <c r="I26" t="s" s="33">
        <v>24</v>
      </c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s="34"/>
      <c r="Z26" t="s" s="243">
        <v>10</v>
      </c>
      <c r="AA26" s="34"/>
      <c r="AB26" t="s" s="243">
        <v>10</v>
      </c>
      <c r="AC26" s="34"/>
      <c r="AD26" s="23"/>
      <c r="AE26" s="13"/>
      <c r="AF26" s="7"/>
    </row>
    <row r="27" ht="13.75" customHeight="1">
      <c r="A27" s="255"/>
      <c r="B27" t="s" s="8">
        <v>593</v>
      </c>
      <c r="C27" s="9"/>
      <c r="D27" s="9"/>
      <c r="E27" t="s" s="8">
        <v>14</v>
      </c>
      <c r="F27" t="s" s="8">
        <v>6</v>
      </c>
      <c r="G27" s="18"/>
      <c r="H27" t="s" s="8">
        <v>6</v>
      </c>
      <c r="I27" s="18"/>
      <c r="J27" t="s" s="8">
        <v>6</v>
      </c>
      <c r="K27" s="40"/>
      <c r="L27" t="s" s="8">
        <v>6</v>
      </c>
      <c r="M27" s="131"/>
      <c r="N27" t="s" s="8">
        <v>6</v>
      </c>
      <c r="O27" s="131"/>
      <c r="P27" t="s" s="8">
        <v>6</v>
      </c>
      <c r="Q27" s="131"/>
      <c r="R27" t="s" s="8">
        <v>6</v>
      </c>
      <c r="S27" s="131"/>
      <c r="T27" t="s" s="8">
        <v>6</v>
      </c>
      <c r="U27" s="131"/>
      <c r="V27" t="s" s="8">
        <v>6</v>
      </c>
      <c r="W27" s="131"/>
      <c r="X27" t="s" s="8">
        <v>6</v>
      </c>
      <c r="Y27" s="131"/>
      <c r="Z27" t="s" s="243">
        <v>6</v>
      </c>
      <c r="AA27" s="131"/>
      <c r="AB27" t="s" s="243">
        <v>6</v>
      </c>
      <c r="AC27" s="131"/>
      <c r="AD27" s="23"/>
      <c r="AE27" s="13"/>
      <c r="AF27" s="7"/>
    </row>
    <row r="28" ht="13.55" customHeight="1">
      <c r="A28" s="255"/>
      <c r="B28" t="s" s="8">
        <v>594</v>
      </c>
      <c r="C28" s="9"/>
      <c r="D28" s="9"/>
      <c r="E28" s="9"/>
      <c r="F28" t="s" s="8">
        <v>8</v>
      </c>
      <c r="G28" s="27"/>
      <c r="H28" t="s" s="8">
        <v>8</v>
      </c>
      <c r="I28" s="27"/>
      <c r="J28" t="s" s="8">
        <v>8</v>
      </c>
      <c r="K28" s="41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27"/>
      <c r="T28" t="s" s="8">
        <v>8</v>
      </c>
      <c r="U28" s="27"/>
      <c r="V28" t="s" s="8">
        <v>8</v>
      </c>
      <c r="W28" s="27"/>
      <c r="X28" t="s" s="8">
        <v>8</v>
      </c>
      <c r="Y28" s="27"/>
      <c r="Z28" t="s" s="243">
        <v>8</v>
      </c>
      <c r="AA28" s="27"/>
      <c r="AB28" t="s" s="243">
        <v>8</v>
      </c>
      <c r="AC28" s="27"/>
      <c r="AD28" s="23" cm="1">
        <f t="array" ref="AD28">G28+I28+K28+M28+O28+Q28+S28+U28+W28+Y28+AA28+AC28</f>
      </c>
      <c r="AE28" s="50" cm="1">
        <f t="array" ref="AE28">500*11</f>
        <v>5500</v>
      </c>
      <c r="AF28" s="7" cm="1">
        <f t="array" ref="AF28">AE28-AD28</f>
      </c>
    </row>
    <row r="29" ht="13.55" customHeight="1">
      <c r="A29" s="255"/>
      <c r="B29" s="9"/>
      <c r="C29" s="9"/>
      <c r="D29" s="9"/>
      <c r="E29" s="9"/>
      <c r="F29" t="s" s="8">
        <v>10</v>
      </c>
      <c r="G29" s="34"/>
      <c r="H29" t="s" s="8">
        <v>10</v>
      </c>
      <c r="I29" s="34"/>
      <c r="J29" t="s" s="8">
        <v>10</v>
      </c>
      <c r="K29" s="45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34"/>
      <c r="T29" t="s" s="8">
        <v>10</v>
      </c>
      <c r="U29" s="34"/>
      <c r="V29" t="s" s="8">
        <v>10</v>
      </c>
      <c r="W29" s="34"/>
      <c r="X29" t="s" s="8">
        <v>10</v>
      </c>
      <c r="Y29" s="34"/>
      <c r="Z29" t="s" s="243">
        <v>10</v>
      </c>
      <c r="AA29" s="34"/>
      <c r="AB29" t="s" s="243">
        <v>10</v>
      </c>
      <c r="AC29" s="34"/>
      <c r="AD29" s="23"/>
      <c r="AE29" s="13"/>
      <c r="AF29" s="7"/>
    </row>
    <row r="30" ht="13.55" customHeight="1">
      <c r="A30" s="253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27"/>
      <c r="N30" s="9"/>
      <c r="O30" s="27"/>
      <c r="P30" s="9"/>
      <c r="Q30" s="27"/>
      <c r="R30" s="9"/>
      <c r="S30" s="27"/>
      <c r="T30" s="9"/>
      <c r="U30" s="27"/>
      <c r="V30" s="9"/>
      <c r="W30" s="27"/>
      <c r="X30" s="9"/>
      <c r="Y30" s="253"/>
      <c r="Z30" s="253"/>
      <c r="AA30" s="253"/>
      <c r="AB30" s="253"/>
      <c r="AC30" s="253"/>
      <c r="AD30" s="23"/>
      <c r="AE30" s="13"/>
      <c r="AF30" s="7"/>
    </row>
    <row r="31" ht="13.75" customHeight="1">
      <c r="A31" s="254">
        <v>5</v>
      </c>
      <c r="B31" t="s" s="130">
        <v>595</v>
      </c>
      <c r="C31" s="9"/>
      <c r="D31" s="9"/>
      <c r="E31" t="s" s="8">
        <v>5</v>
      </c>
      <c r="F31" t="s" s="8">
        <v>6</v>
      </c>
      <c r="G31" s="16">
        <v>1244</v>
      </c>
      <c r="H31" t="s" s="8">
        <v>6</v>
      </c>
      <c r="I31" s="16">
        <v>3255</v>
      </c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243">
        <v>6</v>
      </c>
      <c r="AA31" s="18"/>
      <c r="AB31" t="s" s="243">
        <v>6</v>
      </c>
      <c r="AC31" s="18"/>
      <c r="AD31" s="23"/>
      <c r="AE31" s="13"/>
      <c r="AF31" s="7"/>
    </row>
    <row r="32" ht="13.55" customHeight="1">
      <c r="A32" s="255"/>
      <c r="B32" s="27"/>
      <c r="C32" s="27"/>
      <c r="D32" s="27"/>
      <c r="E32" s="9"/>
      <c r="F32" t="s" s="8">
        <v>8</v>
      </c>
      <c r="G32" s="26">
        <v>1300</v>
      </c>
      <c r="H32" t="s" s="8">
        <v>8</v>
      </c>
      <c r="I32" s="26">
        <v>1300</v>
      </c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243">
        <v>8</v>
      </c>
      <c r="AA32" s="27"/>
      <c r="AB32" t="s" s="243">
        <v>8</v>
      </c>
      <c r="AC32" s="27"/>
      <c r="AD32" s="31" cm="1">
        <f t="array" ref="AD32">G32+I32+K32+M32+O32+Q32+S32+U32+W32+Y32+AA32+AC32</f>
        <v>2600</v>
      </c>
      <c r="AE32" s="50" cm="1">
        <f t="array" ref="AE32">1200*12</f>
        <v>14400</v>
      </c>
      <c r="AF32" s="51" cm="1">
        <f t="array" ref="AF32">AE32-AD32</f>
        <v>11800</v>
      </c>
    </row>
    <row r="33" ht="13.55" customHeight="1">
      <c r="A33" s="255"/>
      <c r="B33" s="27"/>
      <c r="C33" t="s" s="8">
        <v>9</v>
      </c>
      <c r="D33" s="26">
        <v>1000</v>
      </c>
      <c r="E33" s="9"/>
      <c r="F33" t="s" s="8">
        <v>10</v>
      </c>
      <c r="G33" t="s" s="33">
        <v>436</v>
      </c>
      <c r="H33" t="s" s="8">
        <v>10</v>
      </c>
      <c r="I33" t="s" s="33">
        <v>319</v>
      </c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243">
        <v>10</v>
      </c>
      <c r="AA33" s="34"/>
      <c r="AB33" t="s" s="243">
        <v>10</v>
      </c>
      <c r="AC33" s="34"/>
      <c r="AD33" s="23"/>
      <c r="AE33" s="13"/>
      <c r="AF33" s="7"/>
    </row>
    <row r="34" ht="13.75" customHeight="1">
      <c r="A34" s="255"/>
      <c r="B34" t="s" s="8">
        <v>596</v>
      </c>
      <c r="C34" s="9"/>
      <c r="D34" s="9"/>
      <c r="E34" t="s" s="8">
        <v>14</v>
      </c>
      <c r="F34" t="s" s="8">
        <v>6</v>
      </c>
      <c r="G34" s="16">
        <v>2106</v>
      </c>
      <c r="H34" t="s" s="8">
        <v>6</v>
      </c>
      <c r="I34" s="131"/>
      <c r="J34" t="s" s="8">
        <v>6</v>
      </c>
      <c r="K34" s="27"/>
      <c r="L34" t="s" s="8">
        <v>6</v>
      </c>
      <c r="M34" s="18"/>
      <c r="N34" t="s" s="8">
        <v>6</v>
      </c>
      <c r="O34" s="260"/>
      <c r="P34" t="s" s="8">
        <v>6</v>
      </c>
      <c r="Q34" s="131"/>
      <c r="R34" t="s" s="8">
        <v>6</v>
      </c>
      <c r="S34" s="18"/>
      <c r="T34" t="s" s="8">
        <v>6</v>
      </c>
      <c r="U34" s="9"/>
      <c r="V34" t="s" s="8">
        <v>6</v>
      </c>
      <c r="W34" s="9"/>
      <c r="X34" t="s" s="8">
        <v>6</v>
      </c>
      <c r="Y34" s="253"/>
      <c r="Z34" t="s" s="243">
        <v>6</v>
      </c>
      <c r="AA34" s="253"/>
      <c r="AB34" t="s" s="243">
        <v>6</v>
      </c>
      <c r="AC34" s="253"/>
      <c r="AD34" s="23"/>
      <c r="AE34" s="13"/>
      <c r="AF34" s="7"/>
    </row>
    <row r="35" ht="13.55" customHeight="1">
      <c r="A35" s="255"/>
      <c r="B35" t="s" s="8">
        <v>597</v>
      </c>
      <c r="C35" s="9"/>
      <c r="D35" s="9"/>
      <c r="E35" s="9"/>
      <c r="F35" t="s" s="8">
        <v>8</v>
      </c>
      <c r="G35" s="26">
        <v>600</v>
      </c>
      <c r="H35" t="s" s="8">
        <v>8</v>
      </c>
      <c r="I35" s="27"/>
      <c r="J35" t="s" s="8">
        <v>8</v>
      </c>
      <c r="K35" s="27"/>
      <c r="L35" t="s" s="8">
        <v>8</v>
      </c>
      <c r="M35" s="27"/>
      <c r="N35" t="s" s="8">
        <v>8</v>
      </c>
      <c r="O35" s="261"/>
      <c r="P35" t="s" s="8">
        <v>8</v>
      </c>
      <c r="Q35" s="27"/>
      <c r="R35" t="s" s="8">
        <v>8</v>
      </c>
      <c r="S35" s="27"/>
      <c r="T35" t="s" s="8">
        <v>8</v>
      </c>
      <c r="U35" s="9"/>
      <c r="V35" t="s" s="8">
        <v>8</v>
      </c>
      <c r="W35" s="9"/>
      <c r="X35" t="s" s="8">
        <v>8</v>
      </c>
      <c r="Y35" s="253"/>
      <c r="Z35" t="s" s="243">
        <v>8</v>
      </c>
      <c r="AA35" s="253"/>
      <c r="AB35" t="s" s="243">
        <v>8</v>
      </c>
      <c r="AC35" s="253"/>
      <c r="AD35" s="23" cm="1">
        <f t="array" ref="AD35">G35+I35+K35+M35+O35+Q35+S35+U35+W35+Y35+AA35+AC35</f>
      </c>
      <c r="AE35" s="50" cm="1">
        <f t="array" ref="AE35">500*9</f>
        <v>4500</v>
      </c>
      <c r="AF35" s="7" cm="1">
        <f t="array" ref="AF35">AE35-AD35</f>
      </c>
    </row>
    <row r="36" ht="13.55" customHeight="1">
      <c r="A36" s="255"/>
      <c r="B36" s="9"/>
      <c r="C36" s="9"/>
      <c r="D36" s="9"/>
      <c r="E36" s="9"/>
      <c r="F36" t="s" s="8">
        <v>10</v>
      </c>
      <c r="G36" t="s" s="33">
        <v>74</v>
      </c>
      <c r="H36" t="s" s="8">
        <v>10</v>
      </c>
      <c r="I36" s="34"/>
      <c r="J36" t="s" s="8">
        <v>10</v>
      </c>
      <c r="K36" s="27"/>
      <c r="L36" t="s" s="8">
        <v>10</v>
      </c>
      <c r="M36" s="34"/>
      <c r="N36" t="s" s="8">
        <v>10</v>
      </c>
      <c r="O36" s="262"/>
      <c r="P36" t="s" s="8">
        <v>10</v>
      </c>
      <c r="Q36" s="34"/>
      <c r="R36" t="s" s="8">
        <v>10</v>
      </c>
      <c r="S36" s="34"/>
      <c r="T36" t="s" s="8">
        <v>10</v>
      </c>
      <c r="U36" s="9"/>
      <c r="V36" t="s" s="8">
        <v>10</v>
      </c>
      <c r="W36" s="9"/>
      <c r="X36" t="s" s="8">
        <v>10</v>
      </c>
      <c r="Y36" s="253"/>
      <c r="Z36" t="s" s="243">
        <v>10</v>
      </c>
      <c r="AA36" s="253"/>
      <c r="AB36" t="s" s="243">
        <v>10</v>
      </c>
      <c r="AC36" s="253"/>
      <c r="AD36" s="23"/>
      <c r="AE36" s="13"/>
      <c r="AF36" s="7"/>
    </row>
    <row r="37" ht="13.55" customHeight="1">
      <c r="A37" s="255"/>
      <c r="B37" s="9"/>
      <c r="C37" s="9"/>
      <c r="D37" s="9"/>
      <c r="E37" s="9"/>
      <c r="F37" s="9"/>
      <c r="G37" s="27"/>
      <c r="H37" s="9"/>
      <c r="I37" s="34"/>
      <c r="J37" s="9"/>
      <c r="K37" s="27"/>
      <c r="L37" s="9"/>
      <c r="M37" s="34"/>
      <c r="N37" s="9"/>
      <c r="O37" s="34"/>
      <c r="P37" s="9"/>
      <c r="Q37" s="34"/>
      <c r="R37" s="9"/>
      <c r="S37" s="9"/>
      <c r="T37" s="9"/>
      <c r="U37" s="9"/>
      <c r="V37" s="9"/>
      <c r="W37" s="9"/>
      <c r="X37" s="9"/>
      <c r="Y37" s="253"/>
      <c r="Z37" s="253"/>
      <c r="AA37" s="253"/>
      <c r="AB37" s="253"/>
      <c r="AC37" s="253"/>
      <c r="AD37" s="23"/>
      <c r="AE37" s="13"/>
      <c r="AF37" s="7"/>
    </row>
    <row r="38" ht="13.75" customHeight="1">
      <c r="A38" s="254">
        <v>6</v>
      </c>
      <c r="B38" t="s" s="130">
        <v>598</v>
      </c>
      <c r="C38" s="9"/>
      <c r="D38" s="9"/>
      <c r="E38" t="s" s="8">
        <v>5</v>
      </c>
      <c r="F38" t="s" s="8">
        <v>6</v>
      </c>
      <c r="G38" s="18"/>
      <c r="H38" t="s" s="8">
        <v>6</v>
      </c>
      <c r="I38" s="16">
        <v>3166</v>
      </c>
      <c r="J38" t="s" s="8">
        <v>6</v>
      </c>
      <c r="K38" s="18"/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8"/>
      <c r="Z38" t="s" s="243">
        <v>6</v>
      </c>
      <c r="AA38" s="18"/>
      <c r="AB38" t="s" s="243">
        <v>6</v>
      </c>
      <c r="AC38" s="18"/>
      <c r="AD38" s="23"/>
      <c r="AE38" s="13"/>
      <c r="AF38" s="7"/>
    </row>
    <row r="39" ht="13.55" customHeight="1">
      <c r="A39" s="255"/>
      <c r="B39" s="27"/>
      <c r="C39" s="27"/>
      <c r="D39" s="27"/>
      <c r="E39" s="9"/>
      <c r="F39" t="s" s="8">
        <v>8</v>
      </c>
      <c r="G39" s="27"/>
      <c r="H39" t="s" s="8">
        <v>8</v>
      </c>
      <c r="I39" s="26">
        <v>1300</v>
      </c>
      <c r="J39" t="s" s="8">
        <v>8</v>
      </c>
      <c r="K39" s="27"/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243">
        <v>8</v>
      </c>
      <c r="AA39" s="27"/>
      <c r="AB39" t="s" s="243">
        <v>8</v>
      </c>
      <c r="AC39" s="27"/>
      <c r="AD39" s="31" cm="1">
        <f t="array" ref="AD39">G39+I39+K39+M39+O39+Q39+S39+U39+W39+Y39+AA39+AC39</f>
        <v>1300</v>
      </c>
      <c r="AE39" s="50" cm="1">
        <f t="array" ref="AE39">1200*12</f>
        <v>14400</v>
      </c>
      <c r="AF39" s="51" cm="1">
        <f t="array" ref="AF39">AE39-AD39</f>
        <v>13100</v>
      </c>
    </row>
    <row r="40" ht="13.55" customHeight="1">
      <c r="A40" s="255"/>
      <c r="B40" s="27"/>
      <c r="C40" t="s" s="8">
        <v>9</v>
      </c>
      <c r="D40" s="26">
        <v>1000</v>
      </c>
      <c r="E40" s="9"/>
      <c r="F40" t="s" s="8">
        <v>10</v>
      </c>
      <c r="G40" s="34"/>
      <c r="H40" t="s" s="8">
        <v>10</v>
      </c>
      <c r="I40" t="s" s="33">
        <v>142</v>
      </c>
      <c r="J40" t="s" s="8">
        <v>10</v>
      </c>
      <c r="K40" s="34"/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243">
        <v>10</v>
      </c>
      <c r="AA40" s="34"/>
      <c r="AB40" t="s" s="243">
        <v>10</v>
      </c>
      <c r="AC40" s="34"/>
      <c r="AD40" s="23"/>
      <c r="AE40" s="13"/>
      <c r="AF40" s="7"/>
    </row>
    <row r="41" ht="13.75" customHeight="1">
      <c r="A41" s="255"/>
      <c r="B41" t="s" s="8">
        <v>599</v>
      </c>
      <c r="C41" s="9"/>
      <c r="D41" s="9"/>
      <c r="E41" t="s" s="8">
        <v>14</v>
      </c>
      <c r="F41" t="s" s="8">
        <v>6</v>
      </c>
      <c r="G41" s="18"/>
      <c r="H41" t="s" s="8">
        <v>6</v>
      </c>
      <c r="I41" s="16">
        <v>2150</v>
      </c>
      <c r="J41" t="s" s="8">
        <v>6</v>
      </c>
      <c r="K41" s="40"/>
      <c r="L41" t="s" s="8">
        <v>6</v>
      </c>
      <c r="M41" s="18"/>
      <c r="N41" t="s" s="8">
        <v>6</v>
      </c>
      <c r="O41" s="18"/>
      <c r="P41" t="s" s="8">
        <v>6</v>
      </c>
      <c r="Q41" s="18"/>
      <c r="R41" t="s" s="8">
        <v>6</v>
      </c>
      <c r="S41" s="18"/>
      <c r="T41" t="s" s="8">
        <v>6</v>
      </c>
      <c r="U41" s="18"/>
      <c r="V41" t="s" s="8">
        <v>6</v>
      </c>
      <c r="W41" s="18"/>
      <c r="X41" t="s" s="8">
        <v>6</v>
      </c>
      <c r="Y41" s="18"/>
      <c r="Z41" t="s" s="243">
        <v>6</v>
      </c>
      <c r="AA41" s="18"/>
      <c r="AB41" t="s" s="243">
        <v>6</v>
      </c>
      <c r="AC41" s="18"/>
      <c r="AD41" s="23"/>
      <c r="AE41" s="13"/>
      <c r="AF41" s="7"/>
    </row>
    <row r="42" ht="13.55" customHeight="1">
      <c r="A42" s="255"/>
      <c r="B42" t="s" s="8">
        <v>600</v>
      </c>
      <c r="C42" s="9"/>
      <c r="D42" s="9"/>
      <c r="E42" s="9"/>
      <c r="F42" t="s" s="8">
        <v>8</v>
      </c>
      <c r="G42" s="27"/>
      <c r="H42" t="s" s="8">
        <v>8</v>
      </c>
      <c r="I42" s="26">
        <v>600</v>
      </c>
      <c r="J42" t="s" s="8">
        <v>8</v>
      </c>
      <c r="K42" s="41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243">
        <v>8</v>
      </c>
      <c r="AA42" s="27"/>
      <c r="AB42" t="s" s="243">
        <v>8</v>
      </c>
      <c r="AC42" s="27"/>
      <c r="AD42" s="23" cm="1">
        <f t="array" ref="AD42">G42+I42+K42+M42+O42+Q42+S42+U42+W42+Y42+AA42+AC42</f>
      </c>
      <c r="AE42" s="50" cm="1">
        <f t="array" ref="AE42">500*11</f>
        <v>5500</v>
      </c>
      <c r="AF42" s="7" cm="1">
        <f t="array" ref="AF42">AE42-AD42</f>
      </c>
    </row>
    <row r="43" ht="13.55" customHeight="1">
      <c r="A43" s="255"/>
      <c r="B43" s="9"/>
      <c r="C43" s="9"/>
      <c r="D43" s="9"/>
      <c r="E43" s="9"/>
      <c r="F43" t="s" s="8">
        <v>10</v>
      </c>
      <c r="G43" s="34"/>
      <c r="H43" t="s" s="8">
        <v>10</v>
      </c>
      <c r="I43" t="s" s="33">
        <v>142</v>
      </c>
      <c r="J43" t="s" s="8">
        <v>10</v>
      </c>
      <c r="K43" s="45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243">
        <v>10</v>
      </c>
      <c r="AA43" s="34"/>
      <c r="AB43" t="s" s="243">
        <v>10</v>
      </c>
      <c r="AC43" s="34"/>
      <c r="AD43" s="23"/>
      <c r="AE43" s="13"/>
      <c r="AF43" s="7"/>
    </row>
    <row r="44" ht="13.55" customHeight="1">
      <c r="A44" s="253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27"/>
      <c r="N44" s="9"/>
      <c r="O44" s="27"/>
      <c r="P44" s="9"/>
      <c r="Q44" s="27"/>
      <c r="R44" s="9"/>
      <c r="S44" s="9"/>
      <c r="T44" s="9"/>
      <c r="U44" s="9"/>
      <c r="V44" s="9"/>
      <c r="W44" s="9"/>
      <c r="X44" s="9"/>
      <c r="Y44" s="253"/>
      <c r="Z44" s="253"/>
      <c r="AA44" s="253"/>
      <c r="AB44" s="253"/>
      <c r="AC44" s="253"/>
      <c r="AD44" s="23"/>
      <c r="AE44" s="13"/>
      <c r="AF44" s="7"/>
    </row>
    <row r="45" ht="13.75" customHeight="1">
      <c r="A45" s="254">
        <v>7</v>
      </c>
      <c r="B45" t="s" s="130">
        <v>601</v>
      </c>
      <c r="C45" s="9"/>
      <c r="D45" s="9"/>
      <c r="E45" t="s" s="8">
        <v>5</v>
      </c>
      <c r="F45" t="s" s="8">
        <v>6</v>
      </c>
      <c r="G45" s="16">
        <v>1192</v>
      </c>
      <c r="H45" t="s" s="8">
        <v>6</v>
      </c>
      <c r="I45" s="16">
        <v>3194</v>
      </c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8"/>
      <c r="Z45" t="s" s="243">
        <v>6</v>
      </c>
      <c r="AA45" s="18"/>
      <c r="AB45" t="s" s="243">
        <v>6</v>
      </c>
      <c r="AC45" s="18"/>
      <c r="AD45" s="23"/>
      <c r="AE45" s="13"/>
      <c r="AF45" s="7"/>
    </row>
    <row r="46" ht="13.55" customHeight="1">
      <c r="A46" s="255"/>
      <c r="B46" s="27"/>
      <c r="C46" s="27"/>
      <c r="D46" s="27"/>
      <c r="E46" s="9"/>
      <c r="F46" t="s" s="8">
        <v>8</v>
      </c>
      <c r="G46" s="26">
        <v>1300</v>
      </c>
      <c r="H46" t="s" s="8">
        <v>8</v>
      </c>
      <c r="I46" s="26">
        <v>1300</v>
      </c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243">
        <v>8</v>
      </c>
      <c r="AA46" s="27"/>
      <c r="AB46" t="s" s="243">
        <v>8</v>
      </c>
      <c r="AC46" s="27"/>
      <c r="AD46" s="31" cm="1">
        <f t="array" ref="AD46">G46+I46+K46+M46+O46+Q46+S46+U46+W46+Y46+AA46+AC46</f>
        <v>2600</v>
      </c>
      <c r="AE46" s="50" cm="1">
        <f t="array" ref="AE46">1200*12</f>
        <v>14400</v>
      </c>
      <c r="AF46" s="51" cm="1">
        <f t="array" ref="AF46">AE46-AD46</f>
        <v>11800</v>
      </c>
    </row>
    <row r="47" ht="13.55" customHeight="1">
      <c r="A47" s="255"/>
      <c r="B47" s="27"/>
      <c r="C47" t="s" s="8">
        <v>9</v>
      </c>
      <c r="D47" s="26">
        <v>1000</v>
      </c>
      <c r="E47" s="9"/>
      <c r="F47" t="s" s="8">
        <v>10</v>
      </c>
      <c r="G47" t="s" s="33">
        <v>74</v>
      </c>
      <c r="H47" t="s" s="8">
        <v>10</v>
      </c>
      <c r="I47" t="s" s="33">
        <v>602</v>
      </c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243">
        <v>10</v>
      </c>
      <c r="AA47" s="34"/>
      <c r="AB47" t="s" s="243">
        <v>10</v>
      </c>
      <c r="AC47" s="34"/>
      <c r="AD47" s="23"/>
      <c r="AE47" s="13"/>
      <c r="AF47" s="7"/>
    </row>
    <row r="48" ht="13.55" customHeight="1">
      <c r="A48" s="255"/>
      <c r="B48" t="s" s="8">
        <v>532</v>
      </c>
      <c r="C48" s="9"/>
      <c r="D48" s="9"/>
      <c r="E48" t="s" s="8">
        <v>14</v>
      </c>
      <c r="F48" t="s" s="8">
        <v>6</v>
      </c>
      <c r="G48" s="9"/>
      <c r="H48" t="s" s="8">
        <v>6</v>
      </c>
      <c r="I48" s="131"/>
      <c r="J48" t="s" s="8">
        <v>6</v>
      </c>
      <c r="K48" s="27"/>
      <c r="L48" t="s" s="8">
        <v>6</v>
      </c>
      <c r="M48" s="131"/>
      <c r="N48" t="s" s="8">
        <v>6</v>
      </c>
      <c r="O48" s="131"/>
      <c r="P48" t="s" s="8">
        <v>6</v>
      </c>
      <c r="Q48" s="131"/>
      <c r="R48" t="s" s="8">
        <v>6</v>
      </c>
      <c r="S48" s="9"/>
      <c r="T48" t="s" s="8">
        <v>6</v>
      </c>
      <c r="U48" s="9"/>
      <c r="V48" t="s" s="8">
        <v>6</v>
      </c>
      <c r="W48" s="9"/>
      <c r="X48" t="s" s="8">
        <v>6</v>
      </c>
      <c r="Y48" s="253"/>
      <c r="Z48" t="s" s="243">
        <v>6</v>
      </c>
      <c r="AA48" s="253"/>
      <c r="AB48" t="s" s="243">
        <v>6</v>
      </c>
      <c r="AC48" s="253"/>
      <c r="AD48" s="23"/>
      <c r="AE48" s="13"/>
      <c r="AF48" s="7"/>
    </row>
    <row r="49" ht="13.55" customHeight="1">
      <c r="A49" s="255"/>
      <c r="B49" t="s" s="8">
        <v>603</v>
      </c>
      <c r="C49" s="9"/>
      <c r="D49" s="9"/>
      <c r="E49" s="9"/>
      <c r="F49" t="s" s="8">
        <v>8</v>
      </c>
      <c r="G49" s="9"/>
      <c r="H49" t="s" s="8">
        <v>8</v>
      </c>
      <c r="I49" s="27"/>
      <c r="J49" t="s" s="8">
        <v>8</v>
      </c>
      <c r="K49" s="27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9"/>
      <c r="T49" t="s" s="8">
        <v>8</v>
      </c>
      <c r="U49" s="9"/>
      <c r="V49" t="s" s="8">
        <v>8</v>
      </c>
      <c r="W49" s="9"/>
      <c r="X49" t="s" s="8">
        <v>8</v>
      </c>
      <c r="Y49" s="253"/>
      <c r="Z49" t="s" s="243">
        <v>8</v>
      </c>
      <c r="AA49" s="253"/>
      <c r="AB49" t="s" s="243">
        <v>8</v>
      </c>
      <c r="AC49" s="253"/>
      <c r="AD49" s="31" cm="1">
        <f t="array" ref="AD49">G49+I49+K49+M49+O49+Q49+S49+U49+W49+Y49+AA49+AC49</f>
        <v>0</v>
      </c>
      <c r="AE49" s="13"/>
      <c r="AF49" s="7"/>
    </row>
    <row r="50" ht="13.55" customHeight="1">
      <c r="A50" s="255"/>
      <c r="B50" s="38"/>
      <c r="C50" s="325"/>
      <c r="D50" s="9"/>
      <c r="E50" s="9"/>
      <c r="F50" t="s" s="8">
        <v>10</v>
      </c>
      <c r="G50" s="27"/>
      <c r="H50" t="s" s="8">
        <v>10</v>
      </c>
      <c r="I50" s="34"/>
      <c r="J50" t="s" s="8">
        <v>10</v>
      </c>
      <c r="K50" s="27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9"/>
      <c r="T50" t="s" s="8">
        <v>10</v>
      </c>
      <c r="U50" s="9"/>
      <c r="V50" t="s" s="8">
        <v>10</v>
      </c>
      <c r="W50" s="9"/>
      <c r="X50" t="s" s="8">
        <v>10</v>
      </c>
      <c r="Y50" s="253"/>
      <c r="Z50" t="s" s="243">
        <v>10</v>
      </c>
      <c r="AA50" s="253"/>
      <c r="AB50" t="s" s="243">
        <v>10</v>
      </c>
      <c r="AC50" s="253"/>
      <c r="AD50" s="23"/>
      <c r="AE50" s="13"/>
      <c r="AF50" s="7"/>
    </row>
    <row r="51" ht="13.55" customHeight="1">
      <c r="A51" s="253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27"/>
      <c r="N51" s="9"/>
      <c r="O51" s="27"/>
      <c r="P51" s="9"/>
      <c r="Q51" s="27"/>
      <c r="R51" s="9"/>
      <c r="S51" s="9"/>
      <c r="T51" s="9"/>
      <c r="U51" s="9"/>
      <c r="V51" s="9"/>
      <c r="W51" s="9"/>
      <c r="X51" s="9"/>
      <c r="Y51" s="253"/>
      <c r="Z51" s="253"/>
      <c r="AA51" s="253"/>
      <c r="AB51" s="253"/>
      <c r="AC51" s="253"/>
      <c r="AD51" s="23"/>
      <c r="AE51" s="13"/>
      <c r="AF51" s="7"/>
    </row>
    <row r="52" ht="13.75" customHeight="1">
      <c r="A52" s="254">
        <v>8</v>
      </c>
      <c r="B52" t="s" s="130">
        <v>604</v>
      </c>
      <c r="C52" s="9"/>
      <c r="D52" s="9"/>
      <c r="E52" t="s" s="8">
        <v>5</v>
      </c>
      <c r="F52" t="s" s="8">
        <v>6</v>
      </c>
      <c r="G52" s="16">
        <v>1104</v>
      </c>
      <c r="H52" t="s" s="8">
        <v>6</v>
      </c>
      <c r="I52" s="16">
        <v>1104</v>
      </c>
      <c r="J52" t="s" s="8">
        <v>6</v>
      </c>
      <c r="K52" s="16">
        <v>1104</v>
      </c>
      <c r="L52" t="s" s="8">
        <v>6</v>
      </c>
      <c r="M52" s="18"/>
      <c r="N52" t="s" s="8">
        <v>6</v>
      </c>
      <c r="O52" s="18"/>
      <c r="P52" t="s" s="8">
        <v>6</v>
      </c>
      <c r="Q52" s="18"/>
      <c r="R52" t="s" s="8">
        <v>6</v>
      </c>
      <c r="S52" s="18"/>
      <c r="T52" t="s" s="8">
        <v>6</v>
      </c>
      <c r="U52" s="18"/>
      <c r="V52" t="s" s="8">
        <v>6</v>
      </c>
      <c r="W52" s="18"/>
      <c r="X52" t="s" s="8">
        <v>6</v>
      </c>
      <c r="Y52" s="18"/>
      <c r="Z52" t="s" s="243">
        <v>6</v>
      </c>
      <c r="AA52" s="18"/>
      <c r="AB52" t="s" s="243">
        <v>6</v>
      </c>
      <c r="AC52" s="18"/>
      <c r="AD52" s="23"/>
      <c r="AE52" s="13"/>
      <c r="AF52" s="7"/>
    </row>
    <row r="53" ht="13.55" customHeight="1">
      <c r="A53" s="255"/>
      <c r="B53" s="27"/>
      <c r="C53" s="27"/>
      <c r="D53" s="27"/>
      <c r="E53" s="9"/>
      <c r="F53" t="s" s="8">
        <v>8</v>
      </c>
      <c r="G53" s="26">
        <v>1300</v>
      </c>
      <c r="H53" t="s" s="8">
        <v>8</v>
      </c>
      <c r="I53" s="26">
        <v>1300</v>
      </c>
      <c r="J53" t="s" s="8">
        <v>8</v>
      </c>
      <c r="K53" s="26">
        <v>1300</v>
      </c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7"/>
      <c r="Z53" t="s" s="243">
        <v>8</v>
      </c>
      <c r="AA53" s="27"/>
      <c r="AB53" t="s" s="243">
        <v>8</v>
      </c>
      <c r="AC53" s="27"/>
      <c r="AD53" s="31" cm="1">
        <f t="array" ref="AD53">G53+I53+K53+M53+O53+Q53+S53+U53+W53+Y53+AA53+AC53</f>
        <v>3900</v>
      </c>
      <c r="AE53" s="50" cm="1">
        <f t="array" ref="AE53">1200*12</f>
        <v>14400</v>
      </c>
      <c r="AF53" s="51" cm="1">
        <f t="array" ref="AF53">AE53-AD53</f>
        <v>10500</v>
      </c>
    </row>
    <row r="54" ht="13.55" customHeight="1">
      <c r="A54" s="255"/>
      <c r="B54" s="27"/>
      <c r="C54" t="s" s="8">
        <v>9</v>
      </c>
      <c r="D54" s="26">
        <v>1000</v>
      </c>
      <c r="E54" s="9"/>
      <c r="F54" t="s" s="8">
        <v>10</v>
      </c>
      <c r="G54" t="s" s="33">
        <v>23</v>
      </c>
      <c r="H54" t="s" s="8">
        <v>10</v>
      </c>
      <c r="I54" t="s" s="33">
        <v>23</v>
      </c>
      <c r="J54" t="s" s="8">
        <v>10</v>
      </c>
      <c r="K54" t="s" s="33">
        <v>23</v>
      </c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s="34"/>
      <c r="Z54" t="s" s="243">
        <v>10</v>
      </c>
      <c r="AA54" s="34"/>
      <c r="AB54" t="s" s="243">
        <v>10</v>
      </c>
      <c r="AC54" s="34"/>
      <c r="AD54" s="23"/>
      <c r="AE54" s="13"/>
      <c r="AF54" s="7"/>
    </row>
    <row r="55" ht="13.75" customHeight="1">
      <c r="A55" s="255"/>
      <c r="B55" t="s" s="8">
        <v>605</v>
      </c>
      <c r="C55" s="9"/>
      <c r="D55" s="9"/>
      <c r="E55" t="s" s="8">
        <v>14</v>
      </c>
      <c r="F55" t="s" s="8">
        <v>6</v>
      </c>
      <c r="G55" s="18"/>
      <c r="H55" t="s" s="8">
        <v>6</v>
      </c>
      <c r="I55" s="18"/>
      <c r="J55" t="s" s="8">
        <v>6</v>
      </c>
      <c r="K55" s="40"/>
      <c r="L55" t="s" s="8">
        <v>6</v>
      </c>
      <c r="M55" s="18"/>
      <c r="N55" t="s" s="8">
        <v>6</v>
      </c>
      <c r="O55" s="18"/>
      <c r="P55" t="s" s="8">
        <v>6</v>
      </c>
      <c r="Q55" s="18"/>
      <c r="R55" t="s" s="8">
        <v>6</v>
      </c>
      <c r="S55" s="18"/>
      <c r="T55" t="s" s="8">
        <v>6</v>
      </c>
      <c r="U55" s="18"/>
      <c r="V55" t="s" s="8">
        <v>6</v>
      </c>
      <c r="W55" s="18"/>
      <c r="X55" t="s" s="8">
        <v>6</v>
      </c>
      <c r="Y55" s="18"/>
      <c r="Z55" t="s" s="243">
        <v>6</v>
      </c>
      <c r="AA55" s="18"/>
      <c r="AB55" t="s" s="243">
        <v>6</v>
      </c>
      <c r="AC55" s="18"/>
      <c r="AD55" s="23"/>
      <c r="AE55" s="13"/>
      <c r="AF55" s="7"/>
    </row>
    <row r="56" ht="13.55" customHeight="1">
      <c r="A56" s="255"/>
      <c r="B56" t="s" s="8">
        <v>606</v>
      </c>
      <c r="C56" s="9"/>
      <c r="D56" s="9"/>
      <c r="E56" s="9"/>
      <c r="F56" t="s" s="8">
        <v>8</v>
      </c>
      <c r="G56" s="27"/>
      <c r="H56" t="s" s="8">
        <v>8</v>
      </c>
      <c r="I56" s="27"/>
      <c r="J56" t="s" s="8">
        <v>8</v>
      </c>
      <c r="K56" s="41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7"/>
      <c r="Z56" t="s" s="243">
        <v>8</v>
      </c>
      <c r="AA56" s="27"/>
      <c r="AB56" t="s" s="243">
        <v>8</v>
      </c>
      <c r="AC56" s="27"/>
      <c r="AD56" s="23" cm="1">
        <f t="array" ref="AD56">G56+I56+K56+M56+O56+Q56+S56+U56+W56+Y56+AA56+AC56</f>
      </c>
      <c r="AE56" s="50" cm="1">
        <f t="array" ref="AE56">500*11</f>
        <v>5500</v>
      </c>
      <c r="AF56" s="7" cm="1">
        <f t="array" ref="AF56">AE56-AD56</f>
      </c>
    </row>
    <row r="57" ht="13.55" customHeight="1">
      <c r="A57" s="255"/>
      <c r="B57" s="9"/>
      <c r="C57" s="9"/>
      <c r="D57" s="9"/>
      <c r="E57" s="9"/>
      <c r="F57" t="s" s="8">
        <v>10</v>
      </c>
      <c r="G57" s="34"/>
      <c r="H57" t="s" s="8">
        <v>10</v>
      </c>
      <c r="I57" s="34"/>
      <c r="J57" t="s" s="8">
        <v>10</v>
      </c>
      <c r="K57" s="45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s="34"/>
      <c r="Z57" t="s" s="243">
        <v>10</v>
      </c>
      <c r="AA57" s="34"/>
      <c r="AB57" t="s" s="243">
        <v>10</v>
      </c>
      <c r="AC57" s="34"/>
      <c r="AD57" s="23"/>
      <c r="AE57" s="13"/>
      <c r="AF57" s="7"/>
    </row>
    <row r="58" ht="13.55" customHeight="1">
      <c r="A58" s="253"/>
      <c r="B58" s="9"/>
      <c r="C58" s="9"/>
      <c r="D58" s="9"/>
      <c r="E58" s="9"/>
      <c r="F58" s="9"/>
      <c r="G58" s="27"/>
      <c r="H58" s="9"/>
      <c r="I58" s="27"/>
      <c r="J58" s="9"/>
      <c r="K58" s="27"/>
      <c r="L58" s="9"/>
      <c r="M58" s="27"/>
      <c r="N58" s="9"/>
      <c r="O58" s="27"/>
      <c r="P58" s="9"/>
      <c r="Q58" s="27"/>
      <c r="R58" s="9"/>
      <c r="S58" s="9"/>
      <c r="T58" s="9"/>
      <c r="U58" s="9"/>
      <c r="V58" s="9"/>
      <c r="W58" s="9"/>
      <c r="X58" s="9"/>
      <c r="Y58" s="253"/>
      <c r="Z58" s="253"/>
      <c r="AA58" s="253"/>
      <c r="AB58" s="253"/>
      <c r="AC58" s="253"/>
      <c r="AD58" s="23"/>
      <c r="AE58" s="13"/>
      <c r="AF58" s="7"/>
    </row>
    <row r="59" ht="13.75" customHeight="1">
      <c r="A59" s="254">
        <v>9</v>
      </c>
      <c r="B59" t="s" s="130">
        <v>607</v>
      </c>
      <c r="C59" s="9"/>
      <c r="D59" s="9"/>
      <c r="E59" t="s" s="8">
        <v>5</v>
      </c>
      <c r="F59" t="s" s="8">
        <v>6</v>
      </c>
      <c r="G59" s="16">
        <v>3198</v>
      </c>
      <c r="H59" t="s" s="8">
        <v>6</v>
      </c>
      <c r="I59" s="16">
        <v>3198</v>
      </c>
      <c r="J59" t="s" s="8">
        <v>6</v>
      </c>
      <c r="K59" s="18"/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8"/>
      <c r="Z59" t="s" s="243">
        <v>6</v>
      </c>
      <c r="AA59" s="18"/>
      <c r="AB59" t="s" s="243">
        <v>6</v>
      </c>
      <c r="AC59" s="18"/>
      <c r="AD59" s="23"/>
      <c r="AE59" s="13"/>
      <c r="AF59" s="7"/>
    </row>
    <row r="60" ht="13.55" customHeight="1">
      <c r="A60" s="255"/>
      <c r="B60" s="27"/>
      <c r="C60" s="27"/>
      <c r="D60" s="27"/>
      <c r="E60" s="9"/>
      <c r="F60" t="s" s="8">
        <v>8</v>
      </c>
      <c r="G60" s="26">
        <v>1300</v>
      </c>
      <c r="H60" t="s" s="8">
        <v>8</v>
      </c>
      <c r="I60" s="26">
        <v>1300</v>
      </c>
      <c r="J60" t="s" s="8">
        <v>8</v>
      </c>
      <c r="K60" s="27"/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7"/>
      <c r="Z60" t="s" s="243">
        <v>8</v>
      </c>
      <c r="AA60" s="27"/>
      <c r="AB60" t="s" s="243">
        <v>8</v>
      </c>
      <c r="AC60" s="27"/>
      <c r="AD60" s="31" cm="1">
        <f t="array" ref="AD60">G60+I60+K60+M60+O60+Q60+S60+U60+W60+Y60+AA60+AC60</f>
        <v>2600</v>
      </c>
      <c r="AE60" s="50" cm="1">
        <f t="array" ref="AE60">1200*12</f>
        <v>14400</v>
      </c>
      <c r="AF60" s="51" cm="1">
        <f t="array" ref="AF60">AE60-AD60</f>
        <v>11800</v>
      </c>
    </row>
    <row r="61" ht="13.55" customHeight="1">
      <c r="A61" s="255"/>
      <c r="B61" s="27"/>
      <c r="C61" t="s" s="8">
        <v>9</v>
      </c>
      <c r="D61" s="26">
        <v>1000</v>
      </c>
      <c r="E61" t="s" s="33">
        <v>135</v>
      </c>
      <c r="F61" t="s" s="8">
        <v>10</v>
      </c>
      <c r="G61" t="s" s="33">
        <v>24</v>
      </c>
      <c r="H61" t="s" s="8">
        <v>10</v>
      </c>
      <c r="I61" t="s" s="33">
        <v>24</v>
      </c>
      <c r="J61" t="s" s="8">
        <v>10</v>
      </c>
      <c r="K61" s="34"/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s="34"/>
      <c r="Z61" t="s" s="243">
        <v>10</v>
      </c>
      <c r="AA61" s="34"/>
      <c r="AB61" t="s" s="243">
        <v>10</v>
      </c>
      <c r="AC61" s="34"/>
      <c r="AD61" s="23"/>
      <c r="AE61" s="13"/>
      <c r="AF61" s="7"/>
    </row>
    <row r="62" ht="13.75" customHeight="1">
      <c r="A62" s="255"/>
      <c r="B62" t="s" s="8">
        <v>608</v>
      </c>
      <c r="C62" s="9"/>
      <c r="D62" s="9"/>
      <c r="E62" t="s" s="8">
        <v>14</v>
      </c>
      <c r="F62" t="s" s="8">
        <v>6</v>
      </c>
      <c r="G62" s="16">
        <v>2122</v>
      </c>
      <c r="H62" t="s" s="8">
        <v>6</v>
      </c>
      <c r="I62" s="16">
        <v>2174</v>
      </c>
      <c r="J62" t="s" s="8">
        <v>6</v>
      </c>
      <c r="K62" s="40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8"/>
      <c r="Z62" t="s" s="243">
        <v>6</v>
      </c>
      <c r="AA62" s="18"/>
      <c r="AB62" t="s" s="243">
        <v>6</v>
      </c>
      <c r="AC62" s="18"/>
      <c r="AD62" s="23"/>
      <c r="AE62" s="13"/>
      <c r="AF62" s="7"/>
    </row>
    <row r="63" ht="13.55" customHeight="1">
      <c r="A63" s="255"/>
      <c r="B63" t="s" s="8">
        <v>609</v>
      </c>
      <c r="C63" s="9"/>
      <c r="D63" s="9"/>
      <c r="E63" s="9"/>
      <c r="F63" t="s" s="8">
        <v>8</v>
      </c>
      <c r="G63" s="26">
        <v>600</v>
      </c>
      <c r="H63" t="s" s="8">
        <v>8</v>
      </c>
      <c r="I63" s="26">
        <v>600</v>
      </c>
      <c r="J63" t="s" s="8">
        <v>8</v>
      </c>
      <c r="K63" s="41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7"/>
      <c r="Z63" t="s" s="243">
        <v>8</v>
      </c>
      <c r="AA63" s="27"/>
      <c r="AB63" t="s" s="243">
        <v>8</v>
      </c>
      <c r="AC63" s="27"/>
      <c r="AD63" s="23" cm="1">
        <f t="array" ref="AD63">G63+I63+K63+M63+O63+Q63+S63+U63+W63+Y63+AA63+AC63</f>
      </c>
      <c r="AE63" s="50" cm="1">
        <f t="array" ref="AE63">500*11</f>
        <v>5500</v>
      </c>
      <c r="AF63" s="7" cm="1">
        <f t="array" ref="AF63">AE63-AD63</f>
      </c>
    </row>
    <row r="64" ht="13.55" customHeight="1">
      <c r="A64" s="255"/>
      <c r="B64" s="9"/>
      <c r="C64" s="9"/>
      <c r="D64" s="9"/>
      <c r="E64" s="9"/>
      <c r="F64" t="s" s="8">
        <v>10</v>
      </c>
      <c r="G64" t="s" s="33">
        <v>135</v>
      </c>
      <c r="H64" t="s" s="8">
        <v>10</v>
      </c>
      <c r="I64" t="s" s="33">
        <v>24</v>
      </c>
      <c r="J64" t="s" s="8">
        <v>10</v>
      </c>
      <c r="K64" s="45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s="34"/>
      <c r="Z64" t="s" s="243">
        <v>10</v>
      </c>
      <c r="AA64" s="34"/>
      <c r="AB64" t="s" s="243">
        <v>10</v>
      </c>
      <c r="AC64" s="34"/>
      <c r="AD64" s="23"/>
      <c r="AE64" s="13"/>
      <c r="AF64" s="7"/>
    </row>
    <row r="65" ht="13.55" customHeight="1">
      <c r="A65" s="253"/>
      <c r="B65" s="27"/>
      <c r="C65" s="27"/>
      <c r="D65" s="27"/>
      <c r="E65" s="9"/>
      <c r="F65" s="34"/>
      <c r="G65" s="9"/>
      <c r="H65" s="34"/>
      <c r="I65" s="9"/>
      <c r="J65" s="4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31"/>
      <c r="X65" s="131"/>
      <c r="Y65" s="23"/>
      <c r="Z65" s="23"/>
      <c r="AA65" s="23"/>
      <c r="AB65" s="23"/>
      <c r="AC65" s="23"/>
      <c r="AD65" s="23"/>
      <c r="AE65" s="13"/>
      <c r="AF65" s="7"/>
    </row>
    <row r="66" ht="13.75" customHeight="1">
      <c r="A66" s="254">
        <v>10</v>
      </c>
      <c r="B66" t="s" s="130">
        <v>610</v>
      </c>
      <c r="C66" s="326"/>
      <c r="D66" s="327"/>
      <c r="E66" t="s" s="8">
        <v>5</v>
      </c>
      <c r="F66" t="s" s="8">
        <v>6</v>
      </c>
      <c r="G66" s="16">
        <v>1117</v>
      </c>
      <c r="H66" t="s" s="8">
        <v>6</v>
      </c>
      <c r="I66" s="16">
        <v>3155</v>
      </c>
      <c r="J66" t="s" s="8">
        <v>6</v>
      </c>
      <c r="K66" s="18"/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8"/>
      <c r="Z66" t="s" s="8">
        <v>6</v>
      </c>
      <c r="AA66" s="18"/>
      <c r="AB66" t="s" s="8">
        <v>6</v>
      </c>
      <c r="AC66" s="18"/>
      <c r="AD66" s="38"/>
      <c r="AE66" s="7"/>
      <c r="AF66" s="7"/>
    </row>
    <row r="67" ht="13.55" customHeight="1">
      <c r="A67" s="255"/>
      <c r="B67" s="27"/>
      <c r="C67" s="9"/>
      <c r="D67" s="27"/>
      <c r="E67" s="9"/>
      <c r="F67" t="s" s="8">
        <v>8</v>
      </c>
      <c r="G67" s="26">
        <v>1300</v>
      </c>
      <c r="H67" t="s" s="8">
        <v>8</v>
      </c>
      <c r="I67" s="26">
        <v>1300</v>
      </c>
      <c r="J67" t="s" s="8">
        <v>8</v>
      </c>
      <c r="K67" s="27"/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7"/>
      <c r="Z67" t="s" s="8">
        <v>8</v>
      </c>
      <c r="AA67" s="27"/>
      <c r="AB67" t="s" s="8">
        <v>8</v>
      </c>
      <c r="AC67" s="27"/>
      <c r="AD67" s="31" cm="1">
        <f t="array" ref="AD67">G67+I67+K67+M67+O67+Q67+S67+U67+W67+Y67+AA67+AC67</f>
        <v>2600</v>
      </c>
      <c r="AE67" s="50" cm="1">
        <f t="array" ref="AE67">1200*12</f>
        <v>14400</v>
      </c>
      <c r="AF67" s="51" cm="1">
        <f t="array" ref="AF67">AE67-AD67</f>
        <v>11800</v>
      </c>
    </row>
    <row r="68" ht="13.55" customHeight="1">
      <c r="A68" s="255"/>
      <c r="B68" s="27"/>
      <c r="C68" t="s" s="8">
        <v>9</v>
      </c>
      <c r="D68" s="26">
        <v>1000</v>
      </c>
      <c r="E68" s="9"/>
      <c r="F68" t="s" s="8">
        <v>10</v>
      </c>
      <c r="G68" t="s" s="33">
        <v>93</v>
      </c>
      <c r="H68" t="s" s="8">
        <v>10</v>
      </c>
      <c r="I68" t="s" s="33">
        <v>453</v>
      </c>
      <c r="J68" t="s" s="8">
        <v>10</v>
      </c>
      <c r="K68" s="34"/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s="34"/>
      <c r="Z68" t="s" s="8">
        <v>10</v>
      </c>
      <c r="AA68" s="34"/>
      <c r="AB68" t="s" s="8">
        <v>10</v>
      </c>
      <c r="AC68" s="34"/>
      <c r="AD68" s="23"/>
      <c r="AE68" s="13"/>
      <c r="AF68" s="7"/>
    </row>
    <row r="69" ht="13.75" customHeight="1">
      <c r="A69" s="255"/>
      <c r="B69" t="s" s="8">
        <v>611</v>
      </c>
      <c r="C69" s="328"/>
      <c r="D69" s="329"/>
      <c r="E69" t="s" s="8">
        <v>14</v>
      </c>
      <c r="F69" t="s" s="8">
        <v>6</v>
      </c>
      <c r="G69" s="16">
        <v>2043</v>
      </c>
      <c r="H69" t="s" s="8">
        <v>6</v>
      </c>
      <c r="I69" s="16">
        <v>2144</v>
      </c>
      <c r="J69" t="s" s="8">
        <v>6</v>
      </c>
      <c r="K69" s="27"/>
      <c r="L69" t="s" s="8">
        <v>6</v>
      </c>
      <c r="M69" s="18"/>
      <c r="N69" t="s" s="8">
        <v>6</v>
      </c>
      <c r="O69" s="18"/>
      <c r="P69" t="s" s="8">
        <v>6</v>
      </c>
      <c r="Q69" s="18"/>
      <c r="R69" t="s" s="8">
        <v>6</v>
      </c>
      <c r="S69" s="18"/>
      <c r="T69" t="s" s="8">
        <v>6</v>
      </c>
      <c r="U69" s="18"/>
      <c r="V69" t="s" s="8">
        <v>6</v>
      </c>
      <c r="W69" s="18"/>
      <c r="X69" t="s" s="8">
        <v>6</v>
      </c>
      <c r="Y69" s="18"/>
      <c r="Z69" t="s" s="8">
        <v>6</v>
      </c>
      <c r="AA69" s="18"/>
      <c r="AB69" t="s" s="8">
        <v>6</v>
      </c>
      <c r="AC69" s="18"/>
      <c r="AD69" s="23"/>
      <c r="AE69" s="13"/>
      <c r="AF69" s="7"/>
    </row>
    <row r="70" ht="13.55" customHeight="1">
      <c r="A70" s="255"/>
      <c r="B70" t="s" s="8">
        <v>612</v>
      </c>
      <c r="C70" s="13"/>
      <c r="D70" s="165"/>
      <c r="E70" s="9"/>
      <c r="F70" t="s" s="8">
        <v>8</v>
      </c>
      <c r="G70" s="26">
        <v>600</v>
      </c>
      <c r="H70" t="s" s="8">
        <v>8</v>
      </c>
      <c r="I70" s="26">
        <v>800</v>
      </c>
      <c r="J70" t="s" s="8">
        <v>8</v>
      </c>
      <c r="K70" s="27"/>
      <c r="L70" t="s" s="8">
        <v>8</v>
      </c>
      <c r="M70" s="27"/>
      <c r="N70" t="s" s="8">
        <v>8</v>
      </c>
      <c r="O70" s="27"/>
      <c r="P70" t="s" s="8">
        <v>8</v>
      </c>
      <c r="Q70" s="27"/>
      <c r="R70" t="s" s="8">
        <v>8</v>
      </c>
      <c r="S70" s="27"/>
      <c r="T70" t="s" s="8">
        <v>8</v>
      </c>
      <c r="U70" s="27"/>
      <c r="V70" t="s" s="8">
        <v>8</v>
      </c>
      <c r="W70" s="27"/>
      <c r="X70" t="s" s="8">
        <v>8</v>
      </c>
      <c r="Y70" s="27"/>
      <c r="Z70" t="s" s="8">
        <v>8</v>
      </c>
      <c r="AA70" s="27"/>
      <c r="AB70" t="s" s="8">
        <v>8</v>
      </c>
      <c r="AC70" s="27"/>
      <c r="AD70" s="31" cm="1">
        <f t="array" ref="AD70">G70+I70+K70+M70+O70+Q70+S70+U70+W70+Y70+AA70+AC70</f>
        <v>1400</v>
      </c>
      <c r="AE70" s="50" cm="1">
        <f t="array" ref="AE70">700*11</f>
        <v>7700</v>
      </c>
      <c r="AF70" s="51" cm="1">
        <f t="array" ref="AF70">AE70-AD70</f>
        <v>6300</v>
      </c>
    </row>
    <row r="71" ht="13.55" customHeight="1">
      <c r="A71" s="255"/>
      <c r="B71" s="326"/>
      <c r="C71" s="330"/>
      <c r="D71" s="331"/>
      <c r="E71" s="9"/>
      <c r="F71" t="s" s="8">
        <v>10</v>
      </c>
      <c r="G71" t="s" s="33">
        <v>93</v>
      </c>
      <c r="H71" t="s" s="8">
        <v>10</v>
      </c>
      <c r="I71" t="s" s="33">
        <v>453</v>
      </c>
      <c r="J71" t="s" s="8">
        <v>10</v>
      </c>
      <c r="K71" s="27"/>
      <c r="L71" t="s" s="8">
        <v>10</v>
      </c>
      <c r="M71" s="34"/>
      <c r="N71" t="s" s="8">
        <v>10</v>
      </c>
      <c r="O71" s="34"/>
      <c r="P71" t="s" s="8">
        <v>10</v>
      </c>
      <c r="Q71" s="34"/>
      <c r="R71" t="s" s="8">
        <v>10</v>
      </c>
      <c r="S71" s="34"/>
      <c r="T71" t="s" s="8">
        <v>10</v>
      </c>
      <c r="U71" s="34"/>
      <c r="V71" t="s" s="8">
        <v>10</v>
      </c>
      <c r="W71" s="34"/>
      <c r="X71" t="s" s="8">
        <v>10</v>
      </c>
      <c r="Y71" s="34"/>
      <c r="Z71" t="s" s="8">
        <v>10</v>
      </c>
      <c r="AA71" s="34"/>
      <c r="AB71" t="s" s="8">
        <v>10</v>
      </c>
      <c r="AC71" s="34"/>
      <c r="AD71" s="72"/>
      <c r="AE71" s="7"/>
      <c r="AF71" s="7"/>
    </row>
    <row r="72" ht="13.55" customHeight="1">
      <c r="A72" s="253"/>
      <c r="B72" s="326"/>
      <c r="C72" s="303"/>
      <c r="D72" s="327"/>
      <c r="E72" s="9"/>
      <c r="F72" s="9"/>
      <c r="G72" s="253"/>
      <c r="H72" s="326"/>
      <c r="I72" s="304"/>
      <c r="J72" s="303"/>
      <c r="K72" s="278"/>
      <c r="L72" s="9"/>
      <c r="M72" s="9"/>
      <c r="N72" s="9"/>
      <c r="O72" s="9"/>
      <c r="P72" s="332"/>
      <c r="Q72" s="304"/>
      <c r="R72" s="304"/>
      <c r="S72" s="304"/>
      <c r="T72" s="304"/>
      <c r="U72" s="304"/>
      <c r="V72" s="304"/>
      <c r="W72" s="65"/>
      <c r="X72" s="65"/>
      <c r="Y72" s="65"/>
      <c r="Z72" s="39"/>
      <c r="AA72" s="23"/>
      <c r="AB72" s="23"/>
      <c r="AC72" s="23"/>
      <c r="AD72" s="13"/>
      <c r="AE72" s="7"/>
      <c r="AF72" s="7"/>
    </row>
    <row r="73" ht="13.75" customHeight="1">
      <c r="A73" s="254">
        <v>11</v>
      </c>
      <c r="B73" t="s" s="130">
        <v>613</v>
      </c>
      <c r="C73" s="9"/>
      <c r="D73" s="299"/>
      <c r="E73" t="s" s="8">
        <v>5</v>
      </c>
      <c r="F73" t="s" s="8">
        <v>6</v>
      </c>
      <c r="G73" s="16">
        <v>1097</v>
      </c>
      <c r="H73" t="s" s="8">
        <v>6</v>
      </c>
      <c r="I73" s="16">
        <v>3228</v>
      </c>
      <c r="J73" t="s" s="8">
        <v>6</v>
      </c>
      <c r="K73" s="18"/>
      <c r="L73" t="s" s="8">
        <v>6</v>
      </c>
      <c r="M73" s="18"/>
      <c r="N73" t="s" s="8">
        <v>6</v>
      </c>
      <c r="O73" s="18"/>
      <c r="P73" t="s" s="8">
        <v>6</v>
      </c>
      <c r="Q73" s="18"/>
      <c r="R73" t="s" s="8">
        <v>6</v>
      </c>
      <c r="S73" s="18"/>
      <c r="T73" t="s" s="8">
        <v>6</v>
      </c>
      <c r="U73" s="18"/>
      <c r="V73" t="s" s="8">
        <v>6</v>
      </c>
      <c r="W73" s="18"/>
      <c r="X73" t="s" s="8">
        <v>6</v>
      </c>
      <c r="Y73" s="18"/>
      <c r="Z73" t="s" s="8">
        <v>6</v>
      </c>
      <c r="AA73" s="18"/>
      <c r="AB73" t="s" s="8">
        <v>6</v>
      </c>
      <c r="AC73" s="18"/>
      <c r="AD73" s="71"/>
      <c r="AE73" s="7"/>
      <c r="AF73" s="7"/>
    </row>
    <row r="74" ht="13.55" customHeight="1">
      <c r="A74" s="255"/>
      <c r="B74" s="27"/>
      <c r="C74" s="9"/>
      <c r="D74" s="27"/>
      <c r="E74" s="9"/>
      <c r="F74" t="s" s="8">
        <v>8</v>
      </c>
      <c r="G74" s="26">
        <v>1300</v>
      </c>
      <c r="H74" t="s" s="8">
        <v>8</v>
      </c>
      <c r="I74" s="26">
        <v>1300</v>
      </c>
      <c r="J74" t="s" s="8">
        <v>8</v>
      </c>
      <c r="K74" s="27"/>
      <c r="L74" t="s" s="8">
        <v>8</v>
      </c>
      <c r="M74" s="27"/>
      <c r="N74" t="s" s="8">
        <v>8</v>
      </c>
      <c r="O74" s="27"/>
      <c r="P74" t="s" s="8">
        <v>8</v>
      </c>
      <c r="Q74" s="27"/>
      <c r="R74" t="s" s="8">
        <v>8</v>
      </c>
      <c r="S74" s="27"/>
      <c r="T74" t="s" s="8">
        <v>8</v>
      </c>
      <c r="U74" s="27"/>
      <c r="V74" t="s" s="8">
        <v>8</v>
      </c>
      <c r="W74" s="27"/>
      <c r="X74" t="s" s="8">
        <v>8</v>
      </c>
      <c r="Y74" s="27"/>
      <c r="Z74" t="s" s="8">
        <v>8</v>
      </c>
      <c r="AA74" s="27"/>
      <c r="AB74" t="s" s="8">
        <v>8</v>
      </c>
      <c r="AC74" s="27"/>
      <c r="AD74" s="31" cm="1">
        <f t="array" ref="AD74">G74+I74+K74+M74+O74+Q74+S74+U74+W74+Y74+AA74+AC74</f>
        <v>2600</v>
      </c>
      <c r="AE74" s="50" cm="1">
        <f t="array" ref="AE74">1200*12</f>
        <v>14400</v>
      </c>
      <c r="AF74" s="51" cm="1">
        <f t="array" ref="AF74">AE74-AD74</f>
        <v>11800</v>
      </c>
    </row>
    <row r="75" ht="13.55" customHeight="1">
      <c r="A75" s="255"/>
      <c r="B75" s="27"/>
      <c r="C75" t="s" s="8">
        <v>9</v>
      </c>
      <c r="D75" s="26">
        <v>1000</v>
      </c>
      <c r="E75" s="9"/>
      <c r="F75" t="s" s="8">
        <v>10</v>
      </c>
      <c r="G75" t="s" s="33">
        <v>23</v>
      </c>
      <c r="H75" t="s" s="8">
        <v>10</v>
      </c>
      <c r="I75" t="s" s="33">
        <v>85</v>
      </c>
      <c r="J75" t="s" s="8">
        <v>10</v>
      </c>
      <c r="K75" s="34"/>
      <c r="L75" t="s" s="8">
        <v>10</v>
      </c>
      <c r="M75" s="34"/>
      <c r="N75" t="s" s="8">
        <v>10</v>
      </c>
      <c r="O75" s="34"/>
      <c r="P75" t="s" s="8">
        <v>10</v>
      </c>
      <c r="Q75" s="34"/>
      <c r="R75" t="s" s="8">
        <v>10</v>
      </c>
      <c r="S75" s="34"/>
      <c r="T75" t="s" s="8">
        <v>10</v>
      </c>
      <c r="U75" s="34"/>
      <c r="V75" t="s" s="8">
        <v>10</v>
      </c>
      <c r="W75" s="34"/>
      <c r="X75" t="s" s="8">
        <v>10</v>
      </c>
      <c r="Y75" s="34"/>
      <c r="Z75" t="s" s="8">
        <v>10</v>
      </c>
      <c r="AA75" s="34"/>
      <c r="AB75" t="s" s="8">
        <v>10</v>
      </c>
      <c r="AC75" s="34"/>
      <c r="AD75" s="23"/>
      <c r="AE75" s="13"/>
      <c r="AF75" s="7"/>
    </row>
    <row r="76" ht="13.55" customHeight="1">
      <c r="A76" s="255"/>
      <c r="B76" t="s" s="8">
        <v>614</v>
      </c>
      <c r="C76" s="9"/>
      <c r="D76" s="299"/>
      <c r="E76" t="s" s="8">
        <v>14</v>
      </c>
      <c r="F76" t="s" s="8">
        <v>6</v>
      </c>
      <c r="G76" s="253"/>
      <c r="H76" t="s" s="8">
        <v>6</v>
      </c>
      <c r="I76" s="131"/>
      <c r="J76" t="s" s="8">
        <v>6</v>
      </c>
      <c r="K76" s="27"/>
      <c r="L76" t="s" s="8">
        <v>6</v>
      </c>
      <c r="M76" s="131"/>
      <c r="N76" t="s" s="8">
        <v>6</v>
      </c>
      <c r="O76" s="131"/>
      <c r="P76" t="s" s="8">
        <v>6</v>
      </c>
      <c r="Q76" s="253"/>
      <c r="R76" t="s" s="8">
        <v>6</v>
      </c>
      <c r="S76" s="131"/>
      <c r="T76" t="s" s="8">
        <v>6</v>
      </c>
      <c r="U76" s="131"/>
      <c r="V76" t="s" s="8">
        <v>6</v>
      </c>
      <c r="W76" s="131"/>
      <c r="X76" t="s" s="8">
        <v>6</v>
      </c>
      <c r="Y76" s="24"/>
      <c r="Z76" t="s" s="8">
        <v>6</v>
      </c>
      <c r="AA76" s="23"/>
      <c r="AB76" t="s" s="8">
        <v>6</v>
      </c>
      <c r="AC76" s="23"/>
      <c r="AD76" s="23"/>
      <c r="AE76" s="13"/>
      <c r="AF76" s="7"/>
    </row>
    <row r="77" ht="13.55" customHeight="1">
      <c r="A77" s="255"/>
      <c r="B77" t="s" s="8">
        <v>615</v>
      </c>
      <c r="C77" s="9"/>
      <c r="D77" s="23"/>
      <c r="E77" s="9"/>
      <c r="F77" t="s" s="8">
        <v>8</v>
      </c>
      <c r="G77" s="253"/>
      <c r="H77" t="s" s="8">
        <v>8</v>
      </c>
      <c r="I77" s="27"/>
      <c r="J77" t="s" s="8">
        <v>8</v>
      </c>
      <c r="K77" s="27"/>
      <c r="L77" t="s" s="8">
        <v>8</v>
      </c>
      <c r="M77" s="27"/>
      <c r="N77" t="s" s="8">
        <v>8</v>
      </c>
      <c r="O77" s="27"/>
      <c r="P77" t="s" s="8">
        <v>8</v>
      </c>
      <c r="Q77" s="253"/>
      <c r="R77" t="s" s="8">
        <v>8</v>
      </c>
      <c r="S77" s="27"/>
      <c r="T77" t="s" s="8">
        <v>8</v>
      </c>
      <c r="U77" s="27"/>
      <c r="V77" t="s" s="8">
        <v>8</v>
      </c>
      <c r="W77" s="27"/>
      <c r="X77" t="s" s="8">
        <v>8</v>
      </c>
      <c r="Y77" s="32"/>
      <c r="Z77" t="s" s="8">
        <v>8</v>
      </c>
      <c r="AA77" s="23"/>
      <c r="AB77" t="s" s="8">
        <v>8</v>
      </c>
      <c r="AC77" s="23"/>
      <c r="AD77" s="31" cm="1">
        <f t="array" ref="AD77">G77+I77+K77+M77+O77+Q77+S77+U77+W77+Y77+AA77+AC77</f>
        <v>0</v>
      </c>
      <c r="AE77" s="13"/>
      <c r="AF77" s="7"/>
    </row>
    <row r="78" ht="13.55" customHeight="1">
      <c r="A78" s="255"/>
      <c r="B78" s="131"/>
      <c r="C78" s="133"/>
      <c r="D78" s="327"/>
      <c r="E78" s="9"/>
      <c r="F78" t="s" s="8">
        <v>10</v>
      </c>
      <c r="G78" s="253"/>
      <c r="H78" t="s" s="8">
        <v>10</v>
      </c>
      <c r="I78" s="34"/>
      <c r="J78" t="s" s="8">
        <v>10</v>
      </c>
      <c r="K78" s="27"/>
      <c r="L78" t="s" s="8">
        <v>10</v>
      </c>
      <c r="M78" s="34"/>
      <c r="N78" t="s" s="8">
        <v>10</v>
      </c>
      <c r="O78" s="34"/>
      <c r="P78" t="s" s="8">
        <v>10</v>
      </c>
      <c r="Q78" s="253"/>
      <c r="R78" t="s" s="8">
        <v>10</v>
      </c>
      <c r="S78" s="34"/>
      <c r="T78" t="s" s="8">
        <v>10</v>
      </c>
      <c r="U78" s="34"/>
      <c r="V78" t="s" s="8">
        <v>10</v>
      </c>
      <c r="W78" s="34"/>
      <c r="X78" t="s" s="8">
        <v>10</v>
      </c>
      <c r="Y78" s="32"/>
      <c r="Z78" t="s" s="8">
        <v>10</v>
      </c>
      <c r="AA78" s="23"/>
      <c r="AB78" t="s" s="8">
        <v>10</v>
      </c>
      <c r="AC78" s="23"/>
      <c r="AD78" s="72"/>
      <c r="AE78" s="7"/>
      <c r="AF78" s="7"/>
    </row>
    <row r="79" ht="13.55" customHeight="1">
      <c r="A79" s="253"/>
      <c r="B79" s="326"/>
      <c r="C79" s="303"/>
      <c r="D79" s="303"/>
      <c r="E79" s="304"/>
      <c r="F79" s="65"/>
      <c r="G79" s="304"/>
      <c r="H79" s="65"/>
      <c r="I79" s="304"/>
      <c r="J79" s="65"/>
      <c r="K79" s="278"/>
      <c r="L79" s="9"/>
      <c r="M79" s="9"/>
      <c r="N79" s="9"/>
      <c r="O79" s="9"/>
      <c r="P79" s="332"/>
      <c r="Q79" s="304"/>
      <c r="R79" s="304"/>
      <c r="S79" s="304"/>
      <c r="T79" s="304"/>
      <c r="U79" s="304"/>
      <c r="V79" s="304"/>
      <c r="W79" s="65"/>
      <c r="X79" s="65"/>
      <c r="Y79" s="111"/>
      <c r="Z79" s="39"/>
      <c r="AA79" s="23"/>
      <c r="AB79" s="23"/>
      <c r="AC79" s="23"/>
      <c r="AD79" s="13"/>
      <c r="AE79" s="7"/>
      <c r="AF79" s="7"/>
    </row>
    <row r="80" ht="13.75" customHeight="1">
      <c r="A80" s="254">
        <v>12</v>
      </c>
      <c r="B80" t="s" s="130">
        <v>616</v>
      </c>
      <c r="C80" s="9"/>
      <c r="D80" s="299"/>
      <c r="E80" t="s" s="8">
        <v>5</v>
      </c>
      <c r="F80" t="s" s="8">
        <v>6</v>
      </c>
      <c r="G80" s="16">
        <v>1205</v>
      </c>
      <c r="H80" t="s" s="8">
        <v>6</v>
      </c>
      <c r="I80" s="18"/>
      <c r="J80" t="s" s="8">
        <v>6</v>
      </c>
      <c r="K80" s="18"/>
      <c r="L80" t="s" s="8">
        <v>6</v>
      </c>
      <c r="M80" s="18"/>
      <c r="N80" t="s" s="8">
        <v>6</v>
      </c>
      <c r="O80" s="18"/>
      <c r="P80" t="s" s="8">
        <v>6</v>
      </c>
      <c r="Q80" s="18"/>
      <c r="R80" t="s" s="8">
        <v>6</v>
      </c>
      <c r="S80" s="18"/>
      <c r="T80" t="s" s="8">
        <v>6</v>
      </c>
      <c r="U80" s="18"/>
      <c r="V80" t="s" s="8">
        <v>6</v>
      </c>
      <c r="W80" s="18"/>
      <c r="X80" t="s" s="8">
        <v>6</v>
      </c>
      <c r="Y80" s="18"/>
      <c r="Z80" t="s" s="8">
        <v>6</v>
      </c>
      <c r="AA80" s="18"/>
      <c r="AB80" t="s" s="8">
        <v>6</v>
      </c>
      <c r="AC80" s="18"/>
      <c r="AD80" s="71"/>
      <c r="AE80" s="7"/>
      <c r="AF80" s="7"/>
    </row>
    <row r="81" ht="13.55" customHeight="1">
      <c r="A81" s="255"/>
      <c r="B81" s="27"/>
      <c r="C81" s="9"/>
      <c r="D81" s="27"/>
      <c r="E81" s="9"/>
      <c r="F81" t="s" s="8">
        <v>8</v>
      </c>
      <c r="G81" s="26">
        <v>1300</v>
      </c>
      <c r="H81" t="s" s="8">
        <v>8</v>
      </c>
      <c r="I81" s="27"/>
      <c r="J81" t="s" s="8">
        <v>8</v>
      </c>
      <c r="K81" s="27"/>
      <c r="L81" t="s" s="8">
        <v>8</v>
      </c>
      <c r="M81" s="27"/>
      <c r="N81" t="s" s="8">
        <v>8</v>
      </c>
      <c r="O81" s="27"/>
      <c r="P81" t="s" s="8">
        <v>8</v>
      </c>
      <c r="Q81" s="27"/>
      <c r="R81" t="s" s="8">
        <v>8</v>
      </c>
      <c r="S81" s="27"/>
      <c r="T81" t="s" s="8">
        <v>8</v>
      </c>
      <c r="U81" s="27"/>
      <c r="V81" t="s" s="8">
        <v>8</v>
      </c>
      <c r="W81" s="27"/>
      <c r="X81" t="s" s="8">
        <v>8</v>
      </c>
      <c r="Y81" s="27"/>
      <c r="Z81" t="s" s="8">
        <v>8</v>
      </c>
      <c r="AA81" s="27"/>
      <c r="AB81" t="s" s="8">
        <v>8</v>
      </c>
      <c r="AC81" s="27"/>
      <c r="AD81" s="31" cm="1">
        <f t="array" ref="AD81">G81+I81+K81+M81+O81+Q81+S81+U81+W81+Y81+AA81+AC81</f>
        <v>1300</v>
      </c>
      <c r="AE81" s="50" cm="1">
        <f t="array" ref="AE81">1200*12</f>
        <v>14400</v>
      </c>
      <c r="AF81" s="51" cm="1">
        <f t="array" ref="AF81">AE81-AD81</f>
        <v>13100</v>
      </c>
    </row>
    <row r="82" ht="13.55" customHeight="1">
      <c r="A82" s="255"/>
      <c r="B82" s="27"/>
      <c r="C82" t="s" s="8">
        <v>9</v>
      </c>
      <c r="D82" s="26">
        <v>1000</v>
      </c>
      <c r="E82" s="9"/>
      <c r="F82" t="s" s="8">
        <v>10</v>
      </c>
      <c r="G82" t="s" s="33">
        <v>126</v>
      </c>
      <c r="H82" t="s" s="8">
        <v>10</v>
      </c>
      <c r="I82" s="34"/>
      <c r="J82" t="s" s="8">
        <v>10</v>
      </c>
      <c r="K82" s="34"/>
      <c r="L82" t="s" s="8">
        <v>10</v>
      </c>
      <c r="M82" s="34"/>
      <c r="N82" t="s" s="8">
        <v>10</v>
      </c>
      <c r="O82" s="34"/>
      <c r="P82" t="s" s="8">
        <v>10</v>
      </c>
      <c r="Q82" s="34"/>
      <c r="R82" t="s" s="8">
        <v>10</v>
      </c>
      <c r="S82" s="34"/>
      <c r="T82" t="s" s="8">
        <v>10</v>
      </c>
      <c r="U82" s="34"/>
      <c r="V82" t="s" s="8">
        <v>10</v>
      </c>
      <c r="W82" s="34"/>
      <c r="X82" t="s" s="8">
        <v>10</v>
      </c>
      <c r="Y82" s="34"/>
      <c r="Z82" t="s" s="8">
        <v>10</v>
      </c>
      <c r="AA82" s="34"/>
      <c r="AB82" t="s" s="8">
        <v>10</v>
      </c>
      <c r="AC82" s="34"/>
      <c r="AD82" s="23"/>
      <c r="AE82" s="13"/>
      <c r="AF82" s="7"/>
    </row>
    <row r="83" ht="13.75" customHeight="1">
      <c r="A83" s="255"/>
      <c r="B83" t="s" s="8">
        <v>617</v>
      </c>
      <c r="C83" s="9"/>
      <c r="D83" s="299"/>
      <c r="E83" t="s" s="8">
        <v>14</v>
      </c>
      <c r="F83" t="s" s="8">
        <v>6</v>
      </c>
      <c r="G83" s="16">
        <v>2114</v>
      </c>
      <c r="H83" t="s" s="8">
        <v>6</v>
      </c>
      <c r="I83" s="18"/>
      <c r="J83" t="s" s="8">
        <v>6</v>
      </c>
      <c r="K83" s="27"/>
      <c r="L83" t="s" s="8">
        <v>6</v>
      </c>
      <c r="M83" s="18"/>
      <c r="N83" t="s" s="8">
        <v>6</v>
      </c>
      <c r="O83" s="18"/>
      <c r="P83" t="s" s="8">
        <v>6</v>
      </c>
      <c r="Q83" s="18"/>
      <c r="R83" t="s" s="8">
        <v>6</v>
      </c>
      <c r="S83" s="18"/>
      <c r="T83" t="s" s="8">
        <v>6</v>
      </c>
      <c r="U83" s="18"/>
      <c r="V83" t="s" s="8">
        <v>6</v>
      </c>
      <c r="W83" s="18"/>
      <c r="X83" t="s" s="8">
        <v>6</v>
      </c>
      <c r="Y83" s="18"/>
      <c r="Z83" t="s" s="8">
        <v>6</v>
      </c>
      <c r="AA83" s="18"/>
      <c r="AB83" t="s" s="8">
        <v>6</v>
      </c>
      <c r="AC83" s="18"/>
      <c r="AD83" s="23"/>
      <c r="AE83" s="13"/>
      <c r="AF83" s="7"/>
    </row>
    <row r="84" ht="13.55" customHeight="1">
      <c r="A84" s="255"/>
      <c r="B84" t="s" s="8">
        <v>618</v>
      </c>
      <c r="C84" s="9"/>
      <c r="D84" s="23"/>
      <c r="E84" s="9"/>
      <c r="F84" t="s" s="8">
        <v>8</v>
      </c>
      <c r="G84" s="26">
        <v>600</v>
      </c>
      <c r="H84" t="s" s="8">
        <v>8</v>
      </c>
      <c r="I84" s="27"/>
      <c r="J84" t="s" s="8">
        <v>8</v>
      </c>
      <c r="K84" s="27"/>
      <c r="L84" t="s" s="8">
        <v>8</v>
      </c>
      <c r="M84" s="27"/>
      <c r="N84" t="s" s="8">
        <v>8</v>
      </c>
      <c r="O84" s="27"/>
      <c r="P84" t="s" s="8">
        <v>8</v>
      </c>
      <c r="Q84" s="27"/>
      <c r="R84" t="s" s="8">
        <v>8</v>
      </c>
      <c r="S84" s="27"/>
      <c r="T84" t="s" s="8">
        <v>8</v>
      </c>
      <c r="U84" s="27"/>
      <c r="V84" t="s" s="8">
        <v>8</v>
      </c>
      <c r="W84" s="27"/>
      <c r="X84" t="s" s="8">
        <v>8</v>
      </c>
      <c r="Y84" s="27"/>
      <c r="Z84" t="s" s="8">
        <v>8</v>
      </c>
      <c r="AA84" s="27"/>
      <c r="AB84" t="s" s="8">
        <v>8</v>
      </c>
      <c r="AC84" s="27"/>
      <c r="AD84" s="31" cm="1">
        <f t="array" ref="AD84">G84+I84+K84+M84+O84+Q84+S84+U84+W84+Y84+AA84+AC84</f>
        <v>600</v>
      </c>
      <c r="AE84" s="50" cm="1">
        <f t="array" ref="AE84">500*10</f>
        <v>5000</v>
      </c>
      <c r="AF84" s="51" cm="1">
        <f t="array" ref="AF84">AE84-AD84</f>
        <v>4400</v>
      </c>
    </row>
    <row r="85" ht="13.55" customHeight="1">
      <c r="A85" s="255"/>
      <c r="B85" s="131"/>
      <c r="C85" s="133"/>
      <c r="D85" s="327"/>
      <c r="E85" s="9"/>
      <c r="F85" t="s" s="8">
        <v>10</v>
      </c>
      <c r="G85" t="s" s="33">
        <v>126</v>
      </c>
      <c r="H85" t="s" s="8">
        <v>10</v>
      </c>
      <c r="I85" s="34"/>
      <c r="J85" t="s" s="8">
        <v>10</v>
      </c>
      <c r="K85" s="27"/>
      <c r="L85" t="s" s="8">
        <v>10</v>
      </c>
      <c r="M85" s="34"/>
      <c r="N85" t="s" s="8">
        <v>10</v>
      </c>
      <c r="O85" s="34"/>
      <c r="P85" t="s" s="8">
        <v>10</v>
      </c>
      <c r="Q85" s="34"/>
      <c r="R85" t="s" s="8">
        <v>10</v>
      </c>
      <c r="S85" s="34"/>
      <c r="T85" t="s" s="8">
        <v>10</v>
      </c>
      <c r="U85" s="34"/>
      <c r="V85" t="s" s="8">
        <v>10</v>
      </c>
      <c r="W85" s="34"/>
      <c r="X85" t="s" s="8">
        <v>10</v>
      </c>
      <c r="Y85" s="34"/>
      <c r="Z85" t="s" s="8">
        <v>10</v>
      </c>
      <c r="AA85" s="34"/>
      <c r="AB85" t="s" s="8">
        <v>10</v>
      </c>
      <c r="AC85" s="34"/>
      <c r="AD85" s="72"/>
      <c r="AE85" s="7"/>
      <c r="AF85" s="7"/>
    </row>
    <row r="86" ht="13.55" customHeight="1">
      <c r="A86" s="253"/>
      <c r="B86" s="326"/>
      <c r="C86" s="303"/>
      <c r="D86" s="303"/>
      <c r="E86" s="304"/>
      <c r="F86" s="303"/>
      <c r="G86" s="304"/>
      <c r="H86" s="303"/>
      <c r="I86" s="304"/>
      <c r="J86" s="303"/>
      <c r="K86" s="278"/>
      <c r="L86" s="9"/>
      <c r="M86" s="9"/>
      <c r="N86" s="9"/>
      <c r="O86" s="9"/>
      <c r="P86" s="332"/>
      <c r="Q86" s="304"/>
      <c r="R86" s="304"/>
      <c r="S86" s="304"/>
      <c r="T86" s="304"/>
      <c r="U86" s="304"/>
      <c r="V86" s="304"/>
      <c r="W86" s="65"/>
      <c r="X86" s="65"/>
      <c r="Y86" s="65"/>
      <c r="Z86" s="39"/>
      <c r="AA86" s="23"/>
      <c r="AB86" s="23"/>
      <c r="AC86" s="23"/>
      <c r="AD86" s="13"/>
      <c r="AE86" s="7"/>
      <c r="AF86" s="7"/>
    </row>
    <row r="87" ht="13.75" customHeight="1">
      <c r="A87" s="254">
        <v>13</v>
      </c>
      <c r="B87" t="s" s="130">
        <v>619</v>
      </c>
      <c r="C87" s="9"/>
      <c r="D87" s="299"/>
      <c r="E87" t="s" s="8">
        <v>5</v>
      </c>
      <c r="F87" t="s" s="8">
        <v>6</v>
      </c>
      <c r="G87" s="16">
        <v>1131</v>
      </c>
      <c r="H87" t="s" s="8">
        <v>6</v>
      </c>
      <c r="I87" s="16">
        <v>3251</v>
      </c>
      <c r="J87" t="s" s="8">
        <v>6</v>
      </c>
      <c r="K87" s="18"/>
      <c r="L87" t="s" s="8">
        <v>6</v>
      </c>
      <c r="M87" s="18"/>
      <c r="N87" t="s" s="8">
        <v>6</v>
      </c>
      <c r="O87" s="18"/>
      <c r="P87" t="s" s="8">
        <v>6</v>
      </c>
      <c r="Q87" s="18"/>
      <c r="R87" t="s" s="8">
        <v>6</v>
      </c>
      <c r="S87" s="18"/>
      <c r="T87" t="s" s="8">
        <v>6</v>
      </c>
      <c r="U87" s="18"/>
      <c r="V87" t="s" s="8">
        <v>6</v>
      </c>
      <c r="W87" s="18"/>
      <c r="X87" t="s" s="8">
        <v>6</v>
      </c>
      <c r="Y87" s="18"/>
      <c r="Z87" t="s" s="8">
        <v>6</v>
      </c>
      <c r="AA87" s="18"/>
      <c r="AB87" t="s" s="8">
        <v>6</v>
      </c>
      <c r="AC87" s="18"/>
      <c r="AD87" s="71"/>
      <c r="AE87" s="7"/>
      <c r="AF87" s="7"/>
    </row>
    <row r="88" ht="13.55" customHeight="1">
      <c r="A88" s="255"/>
      <c r="B88" s="27"/>
      <c r="C88" s="9"/>
      <c r="D88" s="27"/>
      <c r="E88" s="9"/>
      <c r="F88" t="s" s="8">
        <v>8</v>
      </c>
      <c r="G88" s="26">
        <v>1300</v>
      </c>
      <c r="H88" t="s" s="8">
        <v>8</v>
      </c>
      <c r="I88" s="26">
        <v>1300</v>
      </c>
      <c r="J88" t="s" s="8">
        <v>8</v>
      </c>
      <c r="K88" s="27"/>
      <c r="L88" t="s" s="8">
        <v>8</v>
      </c>
      <c r="M88" s="27"/>
      <c r="N88" t="s" s="8">
        <v>8</v>
      </c>
      <c r="O88" s="27"/>
      <c r="P88" t="s" s="8">
        <v>8</v>
      </c>
      <c r="Q88" s="27"/>
      <c r="R88" t="s" s="8">
        <v>8</v>
      </c>
      <c r="S88" s="27"/>
      <c r="T88" t="s" s="8">
        <v>8</v>
      </c>
      <c r="U88" s="27"/>
      <c r="V88" t="s" s="8">
        <v>8</v>
      </c>
      <c r="W88" s="27"/>
      <c r="X88" t="s" s="8">
        <v>8</v>
      </c>
      <c r="Y88" s="27"/>
      <c r="Z88" t="s" s="8">
        <v>8</v>
      </c>
      <c r="AA88" s="27"/>
      <c r="AB88" t="s" s="8">
        <v>8</v>
      </c>
      <c r="AC88" s="27"/>
      <c r="AD88" s="31" cm="1">
        <f t="array" ref="AD88">G88+I88+K88+M88+O88+Q88+S88+U88+W88+Y88+AA88+AC88</f>
        <v>2600</v>
      </c>
      <c r="AE88" s="50" cm="1">
        <f t="array" ref="AE88">1200*12</f>
        <v>14400</v>
      </c>
      <c r="AF88" s="51" cm="1">
        <f t="array" ref="AF88">AE88-AD88</f>
        <v>11800</v>
      </c>
    </row>
    <row r="89" ht="13.55" customHeight="1">
      <c r="A89" s="255"/>
      <c r="B89" s="27"/>
      <c r="C89" t="s" s="8">
        <v>9</v>
      </c>
      <c r="D89" s="26">
        <v>1000</v>
      </c>
      <c r="E89" s="9"/>
      <c r="F89" t="s" s="8">
        <v>10</v>
      </c>
      <c r="G89" t="s" s="33">
        <v>93</v>
      </c>
      <c r="H89" t="s" s="8">
        <v>10</v>
      </c>
      <c r="I89" t="s" s="33">
        <v>620</v>
      </c>
      <c r="J89" t="s" s="8">
        <v>10</v>
      </c>
      <c r="K89" s="34"/>
      <c r="L89" t="s" s="8">
        <v>10</v>
      </c>
      <c r="M89" s="34"/>
      <c r="N89" t="s" s="8">
        <v>10</v>
      </c>
      <c r="O89" s="34"/>
      <c r="P89" t="s" s="8">
        <v>10</v>
      </c>
      <c r="Q89" s="34"/>
      <c r="R89" t="s" s="8">
        <v>10</v>
      </c>
      <c r="S89" s="34"/>
      <c r="T89" t="s" s="8">
        <v>10</v>
      </c>
      <c r="U89" s="34"/>
      <c r="V89" t="s" s="8">
        <v>10</v>
      </c>
      <c r="W89" s="34"/>
      <c r="X89" t="s" s="8">
        <v>10</v>
      </c>
      <c r="Y89" s="34"/>
      <c r="Z89" t="s" s="8">
        <v>10</v>
      </c>
      <c r="AA89" s="34"/>
      <c r="AB89" t="s" s="8">
        <v>10</v>
      </c>
      <c r="AC89" s="34"/>
      <c r="AD89" s="23"/>
      <c r="AE89" s="13"/>
      <c r="AF89" s="7"/>
    </row>
    <row r="90" ht="13.75" customHeight="1">
      <c r="A90" s="255"/>
      <c r="B90" t="s" s="8">
        <v>621</v>
      </c>
      <c r="C90" s="9"/>
      <c r="D90" s="299"/>
      <c r="E90" t="s" s="8">
        <v>14</v>
      </c>
      <c r="F90" t="s" s="8">
        <v>6</v>
      </c>
      <c r="G90" s="16">
        <v>2054</v>
      </c>
      <c r="H90" t="s" s="8">
        <v>6</v>
      </c>
      <c r="I90" s="16">
        <v>2216</v>
      </c>
      <c r="J90" t="s" s="8">
        <v>6</v>
      </c>
      <c r="K90" s="27"/>
      <c r="L90" t="s" s="8">
        <v>6</v>
      </c>
      <c r="M90" s="18"/>
      <c r="N90" t="s" s="8">
        <v>6</v>
      </c>
      <c r="O90" s="18"/>
      <c r="P90" t="s" s="8">
        <v>6</v>
      </c>
      <c r="Q90" s="18"/>
      <c r="R90" t="s" s="8">
        <v>6</v>
      </c>
      <c r="S90" s="18"/>
      <c r="T90" t="s" s="8">
        <v>6</v>
      </c>
      <c r="U90" s="18"/>
      <c r="V90" t="s" s="8">
        <v>6</v>
      </c>
      <c r="W90" s="18"/>
      <c r="X90" t="s" s="8">
        <v>6</v>
      </c>
      <c r="Y90" s="18"/>
      <c r="Z90" t="s" s="8">
        <v>6</v>
      </c>
      <c r="AA90" s="18"/>
      <c r="AB90" t="s" s="8">
        <v>6</v>
      </c>
      <c r="AC90" s="18"/>
      <c r="AD90" s="23"/>
      <c r="AE90" s="13"/>
      <c r="AF90" s="7"/>
    </row>
    <row r="91" ht="13.55" customHeight="1">
      <c r="A91" s="255"/>
      <c r="B91" t="s" s="8">
        <v>622</v>
      </c>
      <c r="C91" s="9"/>
      <c r="D91" s="23"/>
      <c r="E91" s="9"/>
      <c r="F91" t="s" s="8">
        <v>8</v>
      </c>
      <c r="G91" s="26">
        <v>1200</v>
      </c>
      <c r="H91" t="s" s="8">
        <v>8</v>
      </c>
      <c r="I91" s="26">
        <v>1200</v>
      </c>
      <c r="J91" t="s" s="8">
        <v>8</v>
      </c>
      <c r="K91" s="27"/>
      <c r="L91" t="s" s="8">
        <v>8</v>
      </c>
      <c r="M91" s="27"/>
      <c r="N91" t="s" s="8">
        <v>8</v>
      </c>
      <c r="O91" s="27"/>
      <c r="P91" t="s" s="8">
        <v>8</v>
      </c>
      <c r="Q91" s="27"/>
      <c r="R91" t="s" s="8">
        <v>8</v>
      </c>
      <c r="S91" s="27"/>
      <c r="T91" t="s" s="8">
        <v>8</v>
      </c>
      <c r="U91" s="27"/>
      <c r="V91" t="s" s="8">
        <v>8</v>
      </c>
      <c r="W91" s="27"/>
      <c r="X91" t="s" s="8">
        <v>8</v>
      </c>
      <c r="Y91" s="27"/>
      <c r="Z91" t="s" s="8">
        <v>8</v>
      </c>
      <c r="AA91" s="27"/>
      <c r="AB91" t="s" s="8">
        <v>8</v>
      </c>
      <c r="AC91" s="27"/>
      <c r="AD91" s="31" cm="1">
        <f t="array" ref="AD91">G91+I91+K91+M91+O91+Q91+S91+U91+W91+Y91+AA91+AC91</f>
        <v>2400</v>
      </c>
      <c r="AE91" s="50" cm="1">
        <f t="array" ref="AE91">1100*10</f>
        <v>11000</v>
      </c>
      <c r="AF91" s="51" cm="1">
        <f t="array" ref="AF91">AE91-AD91</f>
        <v>8600</v>
      </c>
    </row>
    <row r="92" ht="13.55" customHeight="1">
      <c r="A92" s="255"/>
      <c r="B92" s="299"/>
      <c r="C92" s="133"/>
      <c r="D92" s="327"/>
      <c r="E92" s="9"/>
      <c r="F92" t="s" s="8">
        <v>10</v>
      </c>
      <c r="G92" t="s" s="33">
        <v>93</v>
      </c>
      <c r="H92" t="s" s="8">
        <v>10</v>
      </c>
      <c r="I92" t="s" s="33">
        <v>620</v>
      </c>
      <c r="J92" t="s" s="8">
        <v>10</v>
      </c>
      <c r="K92" s="27"/>
      <c r="L92" t="s" s="8">
        <v>10</v>
      </c>
      <c r="M92" s="34"/>
      <c r="N92" t="s" s="8">
        <v>10</v>
      </c>
      <c r="O92" s="34"/>
      <c r="P92" t="s" s="8">
        <v>10</v>
      </c>
      <c r="Q92" s="34"/>
      <c r="R92" t="s" s="8">
        <v>10</v>
      </c>
      <c r="S92" s="34"/>
      <c r="T92" t="s" s="8">
        <v>10</v>
      </c>
      <c r="U92" s="34"/>
      <c r="V92" t="s" s="8">
        <v>10</v>
      </c>
      <c r="W92" s="34"/>
      <c r="X92" t="s" s="8">
        <v>10</v>
      </c>
      <c r="Y92" s="34"/>
      <c r="Z92" t="s" s="8">
        <v>10</v>
      </c>
      <c r="AA92" s="34"/>
      <c r="AB92" t="s" s="8">
        <v>10</v>
      </c>
      <c r="AC92" s="34"/>
      <c r="AD92" s="72"/>
      <c r="AE92" s="7"/>
      <c r="AF92" s="7"/>
    </row>
    <row r="93" ht="13.55" customHeight="1">
      <c r="A93" s="253"/>
      <c r="B93" s="326"/>
      <c r="C93" s="303"/>
      <c r="D93" s="303"/>
      <c r="E93" s="304"/>
      <c r="F93" s="303"/>
      <c r="G93" s="304"/>
      <c r="H93" s="303"/>
      <c r="I93" s="304"/>
      <c r="J93" s="303"/>
      <c r="K93" s="278"/>
      <c r="L93" s="9"/>
      <c r="M93" s="9"/>
      <c r="N93" s="9"/>
      <c r="O93" s="9"/>
      <c r="P93" s="332"/>
      <c r="Q93" s="304"/>
      <c r="R93" s="304"/>
      <c r="S93" s="304"/>
      <c r="T93" s="304"/>
      <c r="U93" s="304"/>
      <c r="V93" s="304"/>
      <c r="W93" s="65"/>
      <c r="X93" s="65"/>
      <c r="Y93" s="65"/>
      <c r="Z93" s="39"/>
      <c r="AA93" s="23"/>
      <c r="AB93" s="23"/>
      <c r="AC93" s="23"/>
      <c r="AD93" s="13"/>
      <c r="AE93" s="7"/>
      <c r="AF93" s="7"/>
    </row>
    <row r="94" ht="13.75" customHeight="1">
      <c r="A94" s="254">
        <v>14</v>
      </c>
      <c r="B94" t="s" s="130">
        <v>623</v>
      </c>
      <c r="C94" s="9"/>
      <c r="D94" s="299"/>
      <c r="E94" t="s" s="8">
        <v>5</v>
      </c>
      <c r="F94" t="s" s="8">
        <v>6</v>
      </c>
      <c r="G94" s="16">
        <v>1231</v>
      </c>
      <c r="H94" t="s" s="8">
        <v>6</v>
      </c>
      <c r="I94" s="16">
        <v>1231</v>
      </c>
      <c r="J94" t="s" s="8">
        <v>6</v>
      </c>
      <c r="K94" s="18"/>
      <c r="L94" t="s" s="8">
        <v>6</v>
      </c>
      <c r="M94" s="131"/>
      <c r="N94" t="s" s="8">
        <v>6</v>
      </c>
      <c r="O94" s="131"/>
      <c r="P94" t="s" s="8">
        <v>6</v>
      </c>
      <c r="Q94" s="131"/>
      <c r="R94" t="s" s="8">
        <v>6</v>
      </c>
      <c r="S94" s="131"/>
      <c r="T94" t="s" s="8">
        <v>6</v>
      </c>
      <c r="U94" s="131"/>
      <c r="V94" t="s" s="8">
        <v>6</v>
      </c>
      <c r="W94" s="131"/>
      <c r="X94" t="s" s="8">
        <v>6</v>
      </c>
      <c r="Y94" s="131"/>
      <c r="Z94" t="s" s="8">
        <v>6</v>
      </c>
      <c r="AA94" s="131"/>
      <c r="AB94" t="s" s="8">
        <v>6</v>
      </c>
      <c r="AC94" s="131"/>
      <c r="AD94" s="71"/>
      <c r="AE94" s="7"/>
      <c r="AF94" s="7"/>
    </row>
    <row r="95" ht="13.55" customHeight="1">
      <c r="A95" s="255"/>
      <c r="B95" s="27"/>
      <c r="C95" s="9"/>
      <c r="D95" s="27"/>
      <c r="E95" s="9"/>
      <c r="F95" t="s" s="8">
        <v>8</v>
      </c>
      <c r="G95" s="26">
        <v>1300</v>
      </c>
      <c r="H95" t="s" s="8">
        <v>8</v>
      </c>
      <c r="I95" s="26">
        <v>1300</v>
      </c>
      <c r="J95" t="s" s="8">
        <v>8</v>
      </c>
      <c r="K95" s="27"/>
      <c r="L95" t="s" s="8">
        <v>8</v>
      </c>
      <c r="M95" s="27"/>
      <c r="N95" t="s" s="8">
        <v>8</v>
      </c>
      <c r="O95" s="27"/>
      <c r="P95" t="s" s="8">
        <v>8</v>
      </c>
      <c r="Q95" s="27"/>
      <c r="R95" t="s" s="8">
        <v>8</v>
      </c>
      <c r="S95" s="27"/>
      <c r="T95" t="s" s="8">
        <v>8</v>
      </c>
      <c r="U95" s="27"/>
      <c r="V95" t="s" s="8">
        <v>8</v>
      </c>
      <c r="W95" s="27"/>
      <c r="X95" t="s" s="8">
        <v>8</v>
      </c>
      <c r="Y95" s="27"/>
      <c r="Z95" t="s" s="8">
        <v>8</v>
      </c>
      <c r="AA95" s="27"/>
      <c r="AB95" t="s" s="8">
        <v>8</v>
      </c>
      <c r="AC95" s="27"/>
      <c r="AD95" s="31" cm="1">
        <f t="array" ref="AD95">G95+I95+K95+M95+O95+Q95+S95+U95+W95+Y95+AA95+AC95</f>
        <v>2600</v>
      </c>
      <c r="AE95" s="50" cm="1">
        <f t="array" ref="AE95">1200*12</f>
        <v>14400</v>
      </c>
      <c r="AF95" s="51" cm="1">
        <f t="array" ref="AF95">AE95-AD95</f>
        <v>11800</v>
      </c>
    </row>
    <row r="96" ht="13.55" customHeight="1">
      <c r="A96" s="255"/>
      <c r="B96" s="27"/>
      <c r="C96" t="s" s="8">
        <v>9</v>
      </c>
      <c r="D96" s="26">
        <v>1000</v>
      </c>
      <c r="E96" s="9"/>
      <c r="F96" t="s" s="8">
        <v>10</v>
      </c>
      <c r="G96" t="s" s="33">
        <v>338</v>
      </c>
      <c r="H96" t="s" s="8">
        <v>10</v>
      </c>
      <c r="I96" t="s" s="33">
        <v>338</v>
      </c>
      <c r="J96" t="s" s="8">
        <v>10</v>
      </c>
      <c r="K96" s="34"/>
      <c r="L96" t="s" s="8">
        <v>10</v>
      </c>
      <c r="M96" s="34"/>
      <c r="N96" t="s" s="8">
        <v>10</v>
      </c>
      <c r="O96" s="34"/>
      <c r="P96" t="s" s="8">
        <v>10</v>
      </c>
      <c r="Q96" s="34"/>
      <c r="R96" t="s" s="8">
        <v>10</v>
      </c>
      <c r="S96" s="34"/>
      <c r="T96" t="s" s="8">
        <v>10</v>
      </c>
      <c r="U96" s="34"/>
      <c r="V96" t="s" s="8">
        <v>10</v>
      </c>
      <c r="W96" s="34"/>
      <c r="X96" t="s" s="8">
        <v>10</v>
      </c>
      <c r="Y96" s="34"/>
      <c r="Z96" t="s" s="8">
        <v>10</v>
      </c>
      <c r="AA96" s="34"/>
      <c r="AB96" t="s" s="8">
        <v>10</v>
      </c>
      <c r="AC96" s="34"/>
      <c r="AD96" s="23"/>
      <c r="AE96" s="13"/>
      <c r="AF96" s="7"/>
    </row>
    <row r="97" ht="13.55" customHeight="1">
      <c r="A97" s="255"/>
      <c r="B97" t="s" s="8">
        <v>624</v>
      </c>
      <c r="C97" s="9"/>
      <c r="D97" s="299"/>
      <c r="E97" t="s" s="8">
        <v>14</v>
      </c>
      <c r="F97" t="s" s="8">
        <v>6</v>
      </c>
      <c r="G97" s="253"/>
      <c r="H97" t="s" s="8">
        <v>6</v>
      </c>
      <c r="I97" s="253"/>
      <c r="J97" t="s" s="8">
        <v>6</v>
      </c>
      <c r="K97" s="27"/>
      <c r="L97" t="s" s="8">
        <v>6</v>
      </c>
      <c r="M97" s="131"/>
      <c r="N97" t="s" s="8">
        <v>6</v>
      </c>
      <c r="O97" s="131"/>
      <c r="P97" t="s" s="8">
        <v>6</v>
      </c>
      <c r="Q97" s="253"/>
      <c r="R97" t="s" s="8">
        <v>6</v>
      </c>
      <c r="S97" s="131"/>
      <c r="T97" t="s" s="8">
        <v>6</v>
      </c>
      <c r="U97" s="131"/>
      <c r="V97" t="s" s="8">
        <v>6</v>
      </c>
      <c r="W97" s="131"/>
      <c r="X97" t="s" s="8">
        <v>6</v>
      </c>
      <c r="Y97" s="24"/>
      <c r="Z97" t="s" s="8">
        <v>6</v>
      </c>
      <c r="AA97" s="23"/>
      <c r="AB97" t="s" s="8">
        <v>6</v>
      </c>
      <c r="AC97" s="23"/>
      <c r="AD97" s="23"/>
      <c r="AE97" s="13"/>
      <c r="AF97" s="7"/>
    </row>
    <row r="98" ht="13.55" customHeight="1">
      <c r="A98" s="255"/>
      <c r="B98" t="s" s="8">
        <v>625</v>
      </c>
      <c r="C98" s="9"/>
      <c r="D98" s="23"/>
      <c r="E98" s="9"/>
      <c r="F98" t="s" s="8">
        <v>8</v>
      </c>
      <c r="G98" s="253"/>
      <c r="H98" t="s" s="8">
        <v>8</v>
      </c>
      <c r="I98" s="253"/>
      <c r="J98" t="s" s="8">
        <v>8</v>
      </c>
      <c r="K98" s="27"/>
      <c r="L98" t="s" s="8">
        <v>8</v>
      </c>
      <c r="M98" s="27"/>
      <c r="N98" t="s" s="8">
        <v>8</v>
      </c>
      <c r="O98" s="27"/>
      <c r="P98" t="s" s="8">
        <v>8</v>
      </c>
      <c r="Q98" s="253"/>
      <c r="R98" t="s" s="8">
        <v>8</v>
      </c>
      <c r="S98" s="27"/>
      <c r="T98" t="s" s="8">
        <v>8</v>
      </c>
      <c r="U98" s="27"/>
      <c r="V98" t="s" s="8">
        <v>8</v>
      </c>
      <c r="W98" s="27"/>
      <c r="X98" t="s" s="8">
        <v>8</v>
      </c>
      <c r="Y98" s="32"/>
      <c r="Z98" t="s" s="8">
        <v>8</v>
      </c>
      <c r="AA98" s="23"/>
      <c r="AB98" t="s" s="8">
        <v>8</v>
      </c>
      <c r="AC98" s="23"/>
      <c r="AD98" s="31" cm="1">
        <f t="array" ref="AD98">G98+I98+K98+M98+O98+Q98+S98+U98+W98+Y98+AA98+AC98</f>
        <v>0</v>
      </c>
      <c r="AE98" s="13"/>
      <c r="AF98" s="7"/>
    </row>
    <row r="99" ht="13.55" customHeight="1">
      <c r="A99" s="255"/>
      <c r="B99" s="326"/>
      <c r="C99" s="303"/>
      <c r="D99" s="327"/>
      <c r="E99" s="9"/>
      <c r="F99" t="s" s="8">
        <v>10</v>
      </c>
      <c r="G99" s="253"/>
      <c r="H99" t="s" s="8">
        <v>10</v>
      </c>
      <c r="I99" s="253"/>
      <c r="J99" t="s" s="8">
        <v>10</v>
      </c>
      <c r="K99" s="27"/>
      <c r="L99" t="s" s="8">
        <v>10</v>
      </c>
      <c r="M99" s="34"/>
      <c r="N99" t="s" s="8">
        <v>10</v>
      </c>
      <c r="O99" s="34"/>
      <c r="P99" t="s" s="8">
        <v>10</v>
      </c>
      <c r="Q99" s="253"/>
      <c r="R99" t="s" s="8">
        <v>10</v>
      </c>
      <c r="S99" s="34"/>
      <c r="T99" t="s" s="8">
        <v>10</v>
      </c>
      <c r="U99" s="34"/>
      <c r="V99" t="s" s="8">
        <v>10</v>
      </c>
      <c r="W99" s="34"/>
      <c r="X99" t="s" s="8">
        <v>10</v>
      </c>
      <c r="Y99" s="32"/>
      <c r="Z99" t="s" s="8">
        <v>10</v>
      </c>
      <c r="AA99" s="23"/>
      <c r="AB99" t="s" s="8">
        <v>10</v>
      </c>
      <c r="AC99" s="23"/>
      <c r="AD99" s="72"/>
      <c r="AE99" s="7"/>
      <c r="AF99" s="7"/>
    </row>
    <row r="100" ht="13.55" customHeight="1">
      <c r="A100" s="253"/>
      <c r="B100" s="326"/>
      <c r="C100" s="303"/>
      <c r="D100" s="303"/>
      <c r="E100" s="304"/>
      <c r="F100" s="303"/>
      <c r="G100" s="304"/>
      <c r="H100" s="303"/>
      <c r="I100" s="304"/>
      <c r="J100" s="303"/>
      <c r="K100" s="278"/>
      <c r="L100" s="9"/>
      <c r="M100" s="9"/>
      <c r="N100" s="9"/>
      <c r="O100" s="9"/>
      <c r="P100" s="332"/>
      <c r="Q100" s="304"/>
      <c r="R100" s="304"/>
      <c r="S100" s="304"/>
      <c r="T100" s="304"/>
      <c r="U100" s="304"/>
      <c r="V100" s="304"/>
      <c r="W100" s="65"/>
      <c r="X100" s="65"/>
      <c r="Y100" s="111"/>
      <c r="Z100" s="39"/>
      <c r="AA100" s="23"/>
      <c r="AB100" s="23"/>
      <c r="AC100" s="23"/>
      <c r="AD100" s="13"/>
      <c r="AE100" s="7"/>
      <c r="AF100" s="7"/>
    </row>
    <row r="101" ht="13.75" customHeight="1">
      <c r="A101" s="254">
        <v>15</v>
      </c>
      <c r="B101" t="s" s="130">
        <v>626</v>
      </c>
      <c r="C101" s="9"/>
      <c r="D101" s="299"/>
      <c r="E101" t="s" s="8">
        <v>5</v>
      </c>
      <c r="F101" t="s" s="8">
        <v>6</v>
      </c>
      <c r="G101" s="16">
        <v>1112</v>
      </c>
      <c r="H101" t="s" s="8">
        <v>6</v>
      </c>
      <c r="I101" s="16">
        <v>3173</v>
      </c>
      <c r="J101" t="s" s="8">
        <v>6</v>
      </c>
      <c r="K101" s="16">
        <v>3268</v>
      </c>
      <c r="L101" t="s" s="8">
        <v>6</v>
      </c>
      <c r="M101" s="18"/>
      <c r="N101" t="s" s="8">
        <v>6</v>
      </c>
      <c r="O101" s="18"/>
      <c r="P101" t="s" s="8">
        <v>6</v>
      </c>
      <c r="Q101" s="18"/>
      <c r="R101" t="s" s="8">
        <v>6</v>
      </c>
      <c r="S101" s="18"/>
      <c r="T101" t="s" s="8">
        <v>6</v>
      </c>
      <c r="U101" s="18"/>
      <c r="V101" t="s" s="8">
        <v>6</v>
      </c>
      <c r="W101" s="18"/>
      <c r="X101" t="s" s="8">
        <v>6</v>
      </c>
      <c r="Y101" s="18"/>
      <c r="Z101" t="s" s="8">
        <v>6</v>
      </c>
      <c r="AA101" s="18"/>
      <c r="AB101" t="s" s="8">
        <v>6</v>
      </c>
      <c r="AC101" s="18"/>
      <c r="AD101" s="71"/>
      <c r="AE101" s="7"/>
      <c r="AF101" s="7"/>
    </row>
    <row r="102" ht="13.55" customHeight="1">
      <c r="A102" s="255"/>
      <c r="B102" s="27"/>
      <c r="C102" s="9"/>
      <c r="D102" s="27"/>
      <c r="E102" s="9"/>
      <c r="F102" t="s" s="8">
        <v>8</v>
      </c>
      <c r="G102" s="26">
        <v>1300</v>
      </c>
      <c r="H102" t="s" s="8">
        <v>8</v>
      </c>
      <c r="I102" s="26">
        <v>1300</v>
      </c>
      <c r="J102" t="s" s="8">
        <v>8</v>
      </c>
      <c r="K102" s="26">
        <v>1300</v>
      </c>
      <c r="L102" t="s" s="8">
        <v>8</v>
      </c>
      <c r="M102" s="27"/>
      <c r="N102" t="s" s="8">
        <v>8</v>
      </c>
      <c r="O102" s="27"/>
      <c r="P102" t="s" s="8">
        <v>8</v>
      </c>
      <c r="Q102" s="27"/>
      <c r="R102" t="s" s="8">
        <v>8</v>
      </c>
      <c r="S102" s="27"/>
      <c r="T102" t="s" s="8">
        <v>8</v>
      </c>
      <c r="U102" s="27"/>
      <c r="V102" t="s" s="8">
        <v>8</v>
      </c>
      <c r="W102" s="27"/>
      <c r="X102" t="s" s="8">
        <v>8</v>
      </c>
      <c r="Y102" s="27"/>
      <c r="Z102" t="s" s="8">
        <v>8</v>
      </c>
      <c r="AA102" s="27"/>
      <c r="AB102" t="s" s="8">
        <v>8</v>
      </c>
      <c r="AC102" s="27"/>
      <c r="AD102" s="31" cm="1">
        <f t="array" ref="AD102">G102+I102+K102+M102+O102+Q102+S102+U102+W102+Y102+AA102+AC102</f>
        <v>3900</v>
      </c>
      <c r="AE102" s="50" cm="1">
        <f t="array" ref="AE102">1200*12</f>
        <v>14400</v>
      </c>
      <c r="AF102" s="51" cm="1">
        <f t="array" ref="AF102">AE102-AD102</f>
        <v>10500</v>
      </c>
    </row>
    <row r="103" ht="13.55" customHeight="1">
      <c r="A103" s="255"/>
      <c r="B103" s="27"/>
      <c r="C103" t="s" s="8">
        <v>9</v>
      </c>
      <c r="D103" s="26">
        <v>1000</v>
      </c>
      <c r="E103" s="9"/>
      <c r="F103" t="s" s="8">
        <v>10</v>
      </c>
      <c r="G103" t="s" s="33">
        <v>93</v>
      </c>
      <c r="H103" t="s" s="8">
        <v>10</v>
      </c>
      <c r="I103" t="s" s="33">
        <v>24</v>
      </c>
      <c r="J103" t="s" s="8">
        <v>10</v>
      </c>
      <c r="K103" t="s" s="33">
        <v>127</v>
      </c>
      <c r="L103" t="s" s="8">
        <v>10</v>
      </c>
      <c r="M103" s="34"/>
      <c r="N103" t="s" s="8">
        <v>10</v>
      </c>
      <c r="O103" s="34"/>
      <c r="P103" t="s" s="8">
        <v>10</v>
      </c>
      <c r="Q103" s="34"/>
      <c r="R103" t="s" s="8">
        <v>10</v>
      </c>
      <c r="S103" s="34"/>
      <c r="T103" t="s" s="8">
        <v>10</v>
      </c>
      <c r="U103" s="34"/>
      <c r="V103" t="s" s="8">
        <v>10</v>
      </c>
      <c r="W103" s="34"/>
      <c r="X103" t="s" s="8">
        <v>10</v>
      </c>
      <c r="Y103" s="34"/>
      <c r="Z103" t="s" s="8">
        <v>10</v>
      </c>
      <c r="AA103" s="34"/>
      <c r="AB103" t="s" s="8">
        <v>10</v>
      </c>
      <c r="AC103" s="34"/>
      <c r="AD103" s="23"/>
      <c r="AE103" s="13"/>
      <c r="AF103" s="7"/>
    </row>
    <row r="104" ht="15" customHeight="1">
      <c r="A104" s="255"/>
      <c r="B104" t="s" s="8">
        <v>627</v>
      </c>
      <c r="C104" s="9"/>
      <c r="D104" s="299"/>
      <c r="E104" t="s" s="8">
        <v>14</v>
      </c>
      <c r="F104" t="s" s="8">
        <v>6</v>
      </c>
      <c r="G104" s="16">
        <v>2039</v>
      </c>
      <c r="H104" t="s" s="8">
        <v>6</v>
      </c>
      <c r="I104" s="16">
        <v>2156</v>
      </c>
      <c r="J104" t="s" s="8">
        <v>6</v>
      </c>
      <c r="K104" s="27"/>
      <c r="L104" t="s" s="8">
        <v>6</v>
      </c>
      <c r="M104" s="18"/>
      <c r="N104" t="s" s="8">
        <v>6</v>
      </c>
      <c r="O104" s="18"/>
      <c r="P104" t="s" s="8">
        <v>6</v>
      </c>
      <c r="Q104" s="18"/>
      <c r="R104" t="s" s="8">
        <v>6</v>
      </c>
      <c r="S104" s="18"/>
      <c r="T104" t="s" s="8">
        <v>6</v>
      </c>
      <c r="U104" s="18"/>
      <c r="V104" t="s" s="8">
        <v>6</v>
      </c>
      <c r="W104" s="18"/>
      <c r="X104" t="s" s="8">
        <v>6</v>
      </c>
      <c r="Y104" s="18"/>
      <c r="Z104" t="s" s="8">
        <v>6</v>
      </c>
      <c r="AA104" s="18"/>
      <c r="AB104" t="s" s="8">
        <v>6</v>
      </c>
      <c r="AC104" s="18"/>
      <c r="AD104" s="23"/>
      <c r="AE104" s="13"/>
      <c r="AF104" s="7"/>
    </row>
    <row r="105" ht="13.55" customHeight="1">
      <c r="A105" s="255"/>
      <c r="B105" t="s" s="8">
        <v>628</v>
      </c>
      <c r="C105" s="9"/>
      <c r="D105" s="23"/>
      <c r="E105" s="9"/>
      <c r="F105" t="s" s="8">
        <v>8</v>
      </c>
      <c r="G105" s="26">
        <v>800</v>
      </c>
      <c r="H105" t="s" s="8">
        <v>8</v>
      </c>
      <c r="I105" s="26">
        <v>800</v>
      </c>
      <c r="J105" t="s" s="8">
        <v>8</v>
      </c>
      <c r="K105" s="27"/>
      <c r="L105" t="s" s="8">
        <v>8</v>
      </c>
      <c r="M105" s="27"/>
      <c r="N105" t="s" s="8">
        <v>8</v>
      </c>
      <c r="O105" s="27"/>
      <c r="P105" t="s" s="8">
        <v>8</v>
      </c>
      <c r="Q105" s="27"/>
      <c r="R105" t="s" s="8">
        <v>8</v>
      </c>
      <c r="S105" s="27"/>
      <c r="T105" t="s" s="8">
        <v>8</v>
      </c>
      <c r="U105" s="27"/>
      <c r="V105" t="s" s="8">
        <v>8</v>
      </c>
      <c r="W105" s="27"/>
      <c r="X105" t="s" s="8">
        <v>8</v>
      </c>
      <c r="Y105" s="27"/>
      <c r="Z105" t="s" s="8">
        <v>8</v>
      </c>
      <c r="AA105" s="27"/>
      <c r="AB105" t="s" s="8">
        <v>8</v>
      </c>
      <c r="AC105" s="27"/>
      <c r="AD105" s="31" cm="1">
        <f t="array" ref="AD105">G105+I105+K105+M105+O105+Q105+S105+U105+W105+Y105+AA105+AC105</f>
        <v>1600</v>
      </c>
      <c r="AE105" s="50" cm="1">
        <f t="array" ref="AE105">700*10</f>
        <v>7000</v>
      </c>
      <c r="AF105" s="51" cm="1">
        <f t="array" ref="AF105">AE105-AD105</f>
        <v>5400</v>
      </c>
    </row>
    <row r="106" ht="13.55" customHeight="1">
      <c r="A106" s="255"/>
      <c r="B106" s="326"/>
      <c r="C106" s="303"/>
      <c r="D106" s="327"/>
      <c r="E106" s="9"/>
      <c r="F106" t="s" s="8">
        <v>10</v>
      </c>
      <c r="G106" t="s" s="33">
        <v>93</v>
      </c>
      <c r="H106" t="s" s="8">
        <v>10</v>
      </c>
      <c r="I106" t="s" s="33">
        <v>24</v>
      </c>
      <c r="J106" t="s" s="8">
        <v>10</v>
      </c>
      <c r="K106" s="27"/>
      <c r="L106" t="s" s="8">
        <v>10</v>
      </c>
      <c r="M106" s="34"/>
      <c r="N106" t="s" s="8">
        <v>10</v>
      </c>
      <c r="O106" s="34"/>
      <c r="P106" t="s" s="8">
        <v>10</v>
      </c>
      <c r="Q106" s="34"/>
      <c r="R106" t="s" s="8">
        <v>10</v>
      </c>
      <c r="S106" s="34"/>
      <c r="T106" t="s" s="8">
        <v>10</v>
      </c>
      <c r="U106" s="34"/>
      <c r="V106" t="s" s="8">
        <v>10</v>
      </c>
      <c r="W106" s="34"/>
      <c r="X106" t="s" s="8">
        <v>10</v>
      </c>
      <c r="Y106" s="34"/>
      <c r="Z106" t="s" s="8">
        <v>10</v>
      </c>
      <c r="AA106" s="34"/>
      <c r="AB106" t="s" s="8">
        <v>10</v>
      </c>
      <c r="AC106" s="34"/>
      <c r="AD106" s="72"/>
      <c r="AE106" s="7"/>
      <c r="AF106" s="7"/>
    </row>
    <row r="107" ht="13.55" customHeight="1">
      <c r="A107" s="253"/>
      <c r="B107" s="326"/>
      <c r="C107" s="303"/>
      <c r="D107" s="303"/>
      <c r="E107" s="304"/>
      <c r="F107" s="303"/>
      <c r="G107" s="304"/>
      <c r="H107" s="303"/>
      <c r="I107" s="304"/>
      <c r="J107" s="303"/>
      <c r="K107" s="278"/>
      <c r="L107" s="9"/>
      <c r="M107" s="9"/>
      <c r="N107" s="9"/>
      <c r="O107" s="9"/>
      <c r="P107" s="332"/>
      <c r="Q107" s="304"/>
      <c r="R107" s="304"/>
      <c r="S107" s="304"/>
      <c r="T107" s="304"/>
      <c r="U107" s="304"/>
      <c r="V107" s="304"/>
      <c r="W107" s="65"/>
      <c r="X107" s="65"/>
      <c r="Y107" s="65"/>
      <c r="Z107" s="39"/>
      <c r="AA107" s="23"/>
      <c r="AB107" s="23"/>
      <c r="AC107" s="23"/>
      <c r="AD107" s="13"/>
      <c r="AE107" s="7"/>
      <c r="AF107" s="7"/>
    </row>
    <row r="108" ht="13.75" customHeight="1">
      <c r="A108" s="254">
        <v>16</v>
      </c>
      <c r="B108" t="s" s="130">
        <v>629</v>
      </c>
      <c r="C108" s="9"/>
      <c r="D108" s="299"/>
      <c r="E108" t="s" s="8">
        <v>5</v>
      </c>
      <c r="F108" t="s" s="8">
        <v>6</v>
      </c>
      <c r="G108" s="16">
        <v>1054</v>
      </c>
      <c r="H108" t="s" s="8">
        <v>6</v>
      </c>
      <c r="I108" s="16">
        <v>3232</v>
      </c>
      <c r="J108" t="s" s="8">
        <v>6</v>
      </c>
      <c r="K108" s="18"/>
      <c r="L108" t="s" s="8">
        <v>6</v>
      </c>
      <c r="M108" s="18"/>
      <c r="N108" t="s" s="8">
        <v>6</v>
      </c>
      <c r="O108" s="18"/>
      <c r="P108" t="s" s="8">
        <v>6</v>
      </c>
      <c r="Q108" s="18"/>
      <c r="R108" t="s" s="8">
        <v>6</v>
      </c>
      <c r="S108" s="18"/>
      <c r="T108" t="s" s="8">
        <v>6</v>
      </c>
      <c r="U108" s="18"/>
      <c r="V108" t="s" s="8">
        <v>6</v>
      </c>
      <c r="W108" s="18"/>
      <c r="X108" t="s" s="8">
        <v>6</v>
      </c>
      <c r="Y108" s="18"/>
      <c r="Z108" t="s" s="8">
        <v>6</v>
      </c>
      <c r="AA108" s="18"/>
      <c r="AB108" t="s" s="8">
        <v>6</v>
      </c>
      <c r="AC108" s="23"/>
      <c r="AD108" s="71"/>
      <c r="AE108" s="7"/>
      <c r="AF108" s="7"/>
    </row>
    <row r="109" ht="13.75" customHeight="1">
      <c r="A109" s="255"/>
      <c r="B109" t="s" s="228">
        <v>68</v>
      </c>
      <c r="C109" t="s" s="8">
        <v>7</v>
      </c>
      <c r="D109" s="26">
        <v>1000</v>
      </c>
      <c r="E109" s="9"/>
      <c r="F109" t="s" s="8">
        <v>8</v>
      </c>
      <c r="G109" s="26">
        <v>1300</v>
      </c>
      <c r="H109" t="s" s="8">
        <v>8</v>
      </c>
      <c r="I109" s="26">
        <v>1300</v>
      </c>
      <c r="J109" t="s" s="8">
        <v>8</v>
      </c>
      <c r="K109" s="27"/>
      <c r="L109" t="s" s="8">
        <v>8</v>
      </c>
      <c r="M109" s="27"/>
      <c r="N109" t="s" s="8">
        <v>8</v>
      </c>
      <c r="O109" s="27"/>
      <c r="P109" t="s" s="8">
        <v>8</v>
      </c>
      <c r="Q109" s="27"/>
      <c r="R109" t="s" s="8">
        <v>8</v>
      </c>
      <c r="S109" s="27"/>
      <c r="T109" t="s" s="8">
        <v>8</v>
      </c>
      <c r="U109" s="27"/>
      <c r="V109" t="s" s="8">
        <v>8</v>
      </c>
      <c r="W109" s="27"/>
      <c r="X109" t="s" s="8">
        <v>8</v>
      </c>
      <c r="Y109" s="27"/>
      <c r="Z109" t="s" s="8">
        <v>8</v>
      </c>
      <c r="AA109" s="27"/>
      <c r="AB109" t="s" s="8">
        <v>8</v>
      </c>
      <c r="AC109" s="23"/>
      <c r="AD109" s="31" cm="1">
        <f t="array" ref="AD109">G109+I109+K109+M109+O109+Q109+S109+U109+W109+Y109+AA109+AC109</f>
        <v>2600</v>
      </c>
      <c r="AE109" s="50" cm="1">
        <f t="array" ref="AE109">1200*12</f>
        <v>14400</v>
      </c>
      <c r="AF109" s="51" cm="1">
        <f t="array" ref="AF109">AE109-AD109</f>
        <v>11800</v>
      </c>
    </row>
    <row r="110" ht="13.55" customHeight="1">
      <c r="A110" s="255"/>
      <c r="B110" s="27"/>
      <c r="C110" t="s" s="8">
        <v>9</v>
      </c>
      <c r="D110" s="26">
        <v>1000</v>
      </c>
      <c r="E110" s="9"/>
      <c r="F110" t="s" s="8">
        <v>10</v>
      </c>
      <c r="G110" t="s" s="33">
        <v>11</v>
      </c>
      <c r="H110" t="s" s="8">
        <v>10</v>
      </c>
      <c r="I110" t="s" s="33">
        <v>12</v>
      </c>
      <c r="J110" t="s" s="8">
        <v>10</v>
      </c>
      <c r="K110" s="34"/>
      <c r="L110" t="s" s="8">
        <v>10</v>
      </c>
      <c r="M110" s="34"/>
      <c r="N110" t="s" s="8">
        <v>10</v>
      </c>
      <c r="O110" s="34"/>
      <c r="P110" t="s" s="8">
        <v>10</v>
      </c>
      <c r="Q110" s="34"/>
      <c r="R110" t="s" s="8">
        <v>10</v>
      </c>
      <c r="S110" s="34"/>
      <c r="T110" t="s" s="8">
        <v>10</v>
      </c>
      <c r="U110" s="34"/>
      <c r="V110" t="s" s="8">
        <v>10</v>
      </c>
      <c r="W110" s="34"/>
      <c r="X110" t="s" s="8">
        <v>10</v>
      </c>
      <c r="Y110" s="34"/>
      <c r="Z110" t="s" s="8">
        <v>10</v>
      </c>
      <c r="AA110" s="34"/>
      <c r="AB110" t="s" s="8">
        <v>10</v>
      </c>
      <c r="AC110" s="23"/>
      <c r="AD110" s="23"/>
      <c r="AE110" s="13"/>
      <c r="AF110" s="7"/>
    </row>
    <row r="111" ht="13.75" customHeight="1">
      <c r="A111" s="255"/>
      <c r="B111" t="s" s="8">
        <v>630</v>
      </c>
      <c r="C111" s="9"/>
      <c r="D111" s="299"/>
      <c r="E111" t="s" s="8">
        <v>14</v>
      </c>
      <c r="F111" t="s" s="8">
        <v>6</v>
      </c>
      <c r="G111" s="16">
        <v>2004</v>
      </c>
      <c r="H111" t="s" s="8">
        <v>6</v>
      </c>
      <c r="I111" s="9"/>
      <c r="J111" t="s" s="8">
        <v>6</v>
      </c>
      <c r="K111" s="253"/>
      <c r="L111" t="s" s="8">
        <v>6</v>
      </c>
      <c r="M111" s="18"/>
      <c r="N111" t="s" s="8">
        <v>6</v>
      </c>
      <c r="O111" s="18"/>
      <c r="P111" t="s" s="8">
        <v>6</v>
      </c>
      <c r="Q111" s="18"/>
      <c r="R111" t="s" s="8">
        <v>6</v>
      </c>
      <c r="S111" s="18"/>
      <c r="T111" t="s" s="8">
        <v>6</v>
      </c>
      <c r="U111" s="18"/>
      <c r="V111" t="s" s="8">
        <v>6</v>
      </c>
      <c r="W111" s="18"/>
      <c r="X111" t="s" s="8">
        <v>6</v>
      </c>
      <c r="Y111" s="18"/>
      <c r="Z111" t="s" s="8">
        <v>6</v>
      </c>
      <c r="AA111" s="18"/>
      <c r="AB111" t="s" s="8">
        <v>6</v>
      </c>
      <c r="AC111" s="23"/>
      <c r="AD111" s="23"/>
      <c r="AE111" s="13"/>
      <c r="AF111" s="7"/>
    </row>
    <row r="112" ht="13.55" customHeight="1">
      <c r="A112" s="255"/>
      <c r="B112" t="s" s="8">
        <v>631</v>
      </c>
      <c r="C112" s="9"/>
      <c r="D112" s="23"/>
      <c r="E112" s="9"/>
      <c r="F112" t="s" s="8">
        <v>8</v>
      </c>
      <c r="G112" s="26">
        <v>1000</v>
      </c>
      <c r="H112" t="s" s="8">
        <v>8</v>
      </c>
      <c r="I112" s="42"/>
      <c r="J112" t="s" s="8">
        <v>8</v>
      </c>
      <c r="K112" s="253"/>
      <c r="L112" t="s" s="8">
        <v>8</v>
      </c>
      <c r="M112" s="27"/>
      <c r="N112" t="s" s="8">
        <v>8</v>
      </c>
      <c r="O112" s="27"/>
      <c r="P112" t="s" s="8">
        <v>8</v>
      </c>
      <c r="Q112" s="27"/>
      <c r="R112" t="s" s="8">
        <v>8</v>
      </c>
      <c r="S112" s="27"/>
      <c r="T112" t="s" s="8">
        <v>8</v>
      </c>
      <c r="U112" s="27"/>
      <c r="V112" t="s" s="8">
        <v>8</v>
      </c>
      <c r="W112" s="27"/>
      <c r="X112" t="s" s="8">
        <v>8</v>
      </c>
      <c r="Y112" s="27"/>
      <c r="Z112" t="s" s="8">
        <v>8</v>
      </c>
      <c r="AA112" s="27"/>
      <c r="AB112" t="s" s="8">
        <v>8</v>
      </c>
      <c r="AC112" s="23"/>
      <c r="AD112" s="31" cm="1">
        <f t="array" ref="AD112">G112+I112+K112+M112+O112+Q112+S112+U112+W112+Y112+AA112+AC112</f>
        <v>1000</v>
      </c>
      <c r="AE112" s="50" cm="1">
        <f t="array" ref="AE112">500*9</f>
        <v>4500</v>
      </c>
      <c r="AF112" s="51" cm="1">
        <f t="array" ref="AF112">AE112-AD112</f>
        <v>3500</v>
      </c>
    </row>
    <row r="113" ht="13.55" customHeight="1">
      <c r="A113" s="255"/>
      <c r="B113" s="326"/>
      <c r="C113" s="303"/>
      <c r="D113" s="327"/>
      <c r="E113" s="9"/>
      <c r="F113" t="s" s="8">
        <v>10</v>
      </c>
      <c r="G113" t="s" s="33">
        <v>11</v>
      </c>
      <c r="H113" t="s" s="8">
        <v>10</v>
      </c>
      <c r="I113" s="9"/>
      <c r="J113" t="s" s="8">
        <v>10</v>
      </c>
      <c r="K113" s="253"/>
      <c r="L113" t="s" s="8">
        <v>10</v>
      </c>
      <c r="M113" s="34"/>
      <c r="N113" t="s" s="8">
        <v>10</v>
      </c>
      <c r="O113" s="34"/>
      <c r="P113" t="s" s="8">
        <v>10</v>
      </c>
      <c r="Q113" s="34"/>
      <c r="R113" t="s" s="8">
        <v>10</v>
      </c>
      <c r="S113" s="34"/>
      <c r="T113" t="s" s="8">
        <v>10</v>
      </c>
      <c r="U113" s="34"/>
      <c r="V113" t="s" s="8">
        <v>10</v>
      </c>
      <c r="W113" s="34"/>
      <c r="X113" t="s" s="8">
        <v>10</v>
      </c>
      <c r="Y113" s="34"/>
      <c r="Z113" t="s" s="8">
        <v>10</v>
      </c>
      <c r="AA113" s="34"/>
      <c r="AB113" t="s" s="8">
        <v>10</v>
      </c>
      <c r="AC113" s="23"/>
      <c r="AD113" s="72"/>
      <c r="AE113" s="7"/>
      <c r="AF113" s="7"/>
    </row>
    <row r="114" ht="13.55" customHeight="1">
      <c r="A114" s="333"/>
      <c r="B114" s="334"/>
      <c r="C114" s="303"/>
      <c r="D114" s="303"/>
      <c r="E114" s="304"/>
      <c r="F114" s="303"/>
      <c r="G114" s="304"/>
      <c r="H114" s="303"/>
      <c r="I114" s="304"/>
      <c r="J114" s="303"/>
      <c r="K114" s="278"/>
      <c r="L114" s="9"/>
      <c r="M114" s="9"/>
      <c r="N114" s="9"/>
      <c r="O114" s="9"/>
      <c r="P114" s="9"/>
      <c r="Q114" s="250"/>
      <c r="R114" s="307"/>
      <c r="S114" s="307"/>
      <c r="T114" s="307"/>
      <c r="U114" s="307"/>
      <c r="V114" s="307"/>
      <c r="W114" s="70"/>
      <c r="X114" s="70"/>
      <c r="Y114" s="70"/>
      <c r="Z114" s="164"/>
      <c r="AA114" s="23"/>
      <c r="AB114" s="23"/>
      <c r="AC114" s="23"/>
      <c r="AD114" s="13"/>
      <c r="AE114" s="7"/>
      <c r="AF114" s="7"/>
    </row>
    <row r="115" ht="13.75" customHeight="1">
      <c r="A115" s="254">
        <v>17</v>
      </c>
      <c r="B115" t="s" s="130">
        <v>632</v>
      </c>
      <c r="C115" s="9"/>
      <c r="D115" s="299"/>
      <c r="E115" t="s" s="8">
        <v>5</v>
      </c>
      <c r="F115" t="s" s="8">
        <v>6</v>
      </c>
      <c r="G115" s="16">
        <v>1178</v>
      </c>
      <c r="H115" t="s" s="8">
        <v>6</v>
      </c>
      <c r="I115" s="18"/>
      <c r="J115" t="s" s="8">
        <v>6</v>
      </c>
      <c r="K115" s="18"/>
      <c r="L115" t="s" s="8">
        <v>6</v>
      </c>
      <c r="M115" s="18"/>
      <c r="N115" t="s" s="8">
        <v>6</v>
      </c>
      <c r="O115" s="18"/>
      <c r="P115" t="s" s="8">
        <v>6</v>
      </c>
      <c r="Q115" s="253"/>
      <c r="R115" s="308"/>
      <c r="S115" s="309"/>
      <c r="T115" s="309"/>
      <c r="U115" s="309"/>
      <c r="V115" s="309"/>
      <c r="W115" s="7"/>
      <c r="X115" s="7"/>
      <c r="Y115" s="7"/>
      <c r="Z115" s="165"/>
      <c r="AA115" s="23"/>
      <c r="AB115" s="23"/>
      <c r="AC115" s="23"/>
      <c r="AD115" s="13"/>
      <c r="AE115" s="7"/>
      <c r="AF115" s="7"/>
    </row>
    <row r="116" ht="13.55" customHeight="1">
      <c r="A116" s="255"/>
      <c r="B116" s="27"/>
      <c r="C116" s="9"/>
      <c r="D116" s="27"/>
      <c r="E116" s="9"/>
      <c r="F116" t="s" s="8">
        <v>8</v>
      </c>
      <c r="G116" s="26">
        <v>1300</v>
      </c>
      <c r="H116" t="s" s="8">
        <v>8</v>
      </c>
      <c r="I116" s="27"/>
      <c r="J116" t="s" s="8">
        <v>8</v>
      </c>
      <c r="K116" s="27"/>
      <c r="L116" t="s" s="8">
        <v>8</v>
      </c>
      <c r="M116" s="27"/>
      <c r="N116" t="s" s="8">
        <v>8</v>
      </c>
      <c r="O116" s="27"/>
      <c r="P116" t="s" s="8">
        <v>8</v>
      </c>
      <c r="Q116" s="253"/>
      <c r="R116" s="308"/>
      <c r="S116" s="309"/>
      <c r="T116" s="309"/>
      <c r="U116" s="309"/>
      <c r="V116" s="309"/>
      <c r="W116" s="7"/>
      <c r="X116" s="7"/>
      <c r="Y116" s="7"/>
      <c r="Z116" s="165"/>
      <c r="AA116" s="23"/>
      <c r="AB116" s="23"/>
      <c r="AC116" s="23"/>
      <c r="AD116" s="13"/>
      <c r="AE116" s="7"/>
      <c r="AF116" s="7"/>
    </row>
    <row r="117" ht="13.55" customHeight="1">
      <c r="A117" s="255"/>
      <c r="B117" s="27"/>
      <c r="C117" t="s" s="8">
        <v>9</v>
      </c>
      <c r="D117" s="26">
        <v>1000</v>
      </c>
      <c r="E117" s="9"/>
      <c r="F117" t="s" s="8">
        <v>10</v>
      </c>
      <c r="G117" t="s" s="33">
        <v>39</v>
      </c>
      <c r="H117" t="s" s="8">
        <v>10</v>
      </c>
      <c r="I117" s="34"/>
      <c r="J117" t="s" s="8">
        <v>10</v>
      </c>
      <c r="K117" s="34"/>
      <c r="L117" t="s" s="8">
        <v>10</v>
      </c>
      <c r="M117" s="34"/>
      <c r="N117" t="s" s="8">
        <v>10</v>
      </c>
      <c r="O117" s="34"/>
      <c r="P117" t="s" s="8">
        <v>10</v>
      </c>
      <c r="Q117" s="253"/>
      <c r="R117" s="308"/>
      <c r="S117" s="309"/>
      <c r="T117" s="309"/>
      <c r="U117" s="309"/>
      <c r="V117" s="309"/>
      <c r="W117" s="7"/>
      <c r="X117" s="7"/>
      <c r="Y117" s="7"/>
      <c r="Z117" s="165"/>
      <c r="AA117" s="23"/>
      <c r="AB117" s="23"/>
      <c r="AC117" s="23"/>
      <c r="AD117" s="13"/>
      <c r="AE117" s="7"/>
      <c r="AF117" s="7"/>
    </row>
    <row r="118" ht="13.75" customHeight="1">
      <c r="A118" s="255"/>
      <c r="B118" t="s" s="8">
        <v>633</v>
      </c>
      <c r="C118" s="9"/>
      <c r="D118" s="299"/>
      <c r="E118" t="s" s="8">
        <v>14</v>
      </c>
      <c r="F118" t="s" s="8">
        <v>6</v>
      </c>
      <c r="G118" s="253"/>
      <c r="H118" t="s" s="8">
        <v>6</v>
      </c>
      <c r="I118" s="16">
        <v>2198</v>
      </c>
      <c r="J118" t="s" s="8">
        <v>6</v>
      </c>
      <c r="K118" s="253"/>
      <c r="L118" t="s" s="8">
        <v>6</v>
      </c>
      <c r="M118" s="18"/>
      <c r="N118" t="s" s="8">
        <v>6</v>
      </c>
      <c r="O118" s="18"/>
      <c r="P118" t="s" s="8">
        <v>6</v>
      </c>
      <c r="Q118" s="253"/>
      <c r="R118" s="308"/>
      <c r="S118" s="309"/>
      <c r="T118" s="309"/>
      <c r="U118" s="309"/>
      <c r="V118" s="309"/>
      <c r="W118" s="7"/>
      <c r="X118" s="7"/>
      <c r="Y118" s="7"/>
      <c r="Z118" s="165"/>
      <c r="AA118" s="23"/>
      <c r="AB118" s="23"/>
      <c r="AC118" s="23"/>
      <c r="AD118" s="13"/>
      <c r="AE118" s="7"/>
      <c r="AF118" s="7"/>
    </row>
    <row r="119" ht="13.55" customHeight="1">
      <c r="A119" s="255"/>
      <c r="B119" t="s" s="8">
        <v>634</v>
      </c>
      <c r="C119" s="9"/>
      <c r="D119" s="23"/>
      <c r="E119" s="9"/>
      <c r="F119" t="s" s="8">
        <v>8</v>
      </c>
      <c r="G119" s="253"/>
      <c r="H119" t="s" s="8">
        <v>8</v>
      </c>
      <c r="I119" s="26">
        <v>1000</v>
      </c>
      <c r="J119" t="s" s="8">
        <v>8</v>
      </c>
      <c r="K119" s="253"/>
      <c r="L119" t="s" s="8">
        <v>8</v>
      </c>
      <c r="M119" s="27"/>
      <c r="N119" t="s" s="8">
        <v>8</v>
      </c>
      <c r="O119" s="27"/>
      <c r="P119" t="s" s="8">
        <v>8</v>
      </c>
      <c r="Q119" s="253"/>
      <c r="R119" s="308"/>
      <c r="S119" s="309"/>
      <c r="T119" s="309"/>
      <c r="U119" s="309"/>
      <c r="V119" s="309"/>
      <c r="W119" s="7"/>
      <c r="X119" s="7"/>
      <c r="Y119" s="7"/>
      <c r="Z119" s="165"/>
      <c r="AA119" s="23"/>
      <c r="AB119" s="23"/>
      <c r="AC119" s="23"/>
      <c r="AD119" s="13"/>
      <c r="AE119" s="7"/>
      <c r="AF119" s="7"/>
    </row>
    <row r="120" ht="13.55" customHeight="1">
      <c r="A120" s="255"/>
      <c r="B120" s="326"/>
      <c r="C120" s="303"/>
      <c r="D120" s="327"/>
      <c r="E120" s="9"/>
      <c r="F120" t="s" s="8">
        <v>10</v>
      </c>
      <c r="G120" s="253"/>
      <c r="H120" t="s" s="8">
        <v>10</v>
      </c>
      <c r="I120" t="s" s="33">
        <v>12</v>
      </c>
      <c r="J120" t="s" s="8">
        <v>10</v>
      </c>
      <c r="K120" s="253"/>
      <c r="L120" t="s" s="8">
        <v>10</v>
      </c>
      <c r="M120" s="34"/>
      <c r="N120" t="s" s="8">
        <v>10</v>
      </c>
      <c r="O120" s="34"/>
      <c r="P120" t="s" s="8">
        <v>10</v>
      </c>
      <c r="Q120" s="253"/>
      <c r="R120" s="308"/>
      <c r="S120" s="309"/>
      <c r="T120" s="309"/>
      <c r="U120" s="309"/>
      <c r="V120" s="309"/>
      <c r="W120" s="7"/>
      <c r="X120" s="7"/>
      <c r="Y120" s="7"/>
      <c r="Z120" s="165"/>
      <c r="AA120" s="23"/>
      <c r="AB120" s="23"/>
      <c r="AC120" s="23"/>
      <c r="AD120" s="13"/>
      <c r="AE120" s="7"/>
      <c r="AF120" s="7"/>
    </row>
    <row r="121" ht="13.55" customHeight="1">
      <c r="A121" s="333"/>
      <c r="B121" s="334"/>
      <c r="C121" s="303"/>
      <c r="D121" s="303"/>
      <c r="E121" s="304"/>
      <c r="F121" s="303"/>
      <c r="G121" s="304"/>
      <c r="H121" s="303"/>
      <c r="I121" s="304"/>
      <c r="J121" s="303"/>
      <c r="K121" s="278"/>
      <c r="L121" s="9"/>
      <c r="M121" s="9"/>
      <c r="N121" s="9"/>
      <c r="O121" s="9"/>
      <c r="P121" s="332"/>
      <c r="Q121" s="304"/>
      <c r="R121" s="335"/>
      <c r="S121" s="335"/>
      <c r="T121" s="335"/>
      <c r="U121" s="335"/>
      <c r="V121" s="335"/>
      <c r="W121" s="111"/>
      <c r="X121" s="111"/>
      <c r="Y121" s="111"/>
      <c r="Z121" s="336"/>
      <c r="AA121" s="23"/>
      <c r="AB121" s="23"/>
      <c r="AC121" s="23"/>
      <c r="AD121" s="13"/>
      <c r="AE121" s="7"/>
      <c r="AF121" s="7"/>
    </row>
    <row r="122" ht="13.75" customHeight="1">
      <c r="A122" s="254">
        <v>18</v>
      </c>
      <c r="B122" t="s" s="130">
        <v>635</v>
      </c>
      <c r="C122" s="9"/>
      <c r="D122" s="299"/>
      <c r="E122" t="s" s="8">
        <v>5</v>
      </c>
      <c r="F122" t="s" s="8">
        <v>6</v>
      </c>
      <c r="G122" s="16">
        <v>1195</v>
      </c>
      <c r="H122" t="s" s="8">
        <v>6</v>
      </c>
      <c r="I122" s="18"/>
      <c r="J122" t="s" s="8">
        <v>6</v>
      </c>
      <c r="K122" s="18"/>
      <c r="L122" t="s" s="8">
        <v>6</v>
      </c>
      <c r="M122" s="18"/>
      <c r="N122" t="s" s="8">
        <v>6</v>
      </c>
      <c r="O122" s="18"/>
      <c r="P122" t="s" s="8">
        <v>6</v>
      </c>
      <c r="Q122" s="18"/>
      <c r="R122" t="s" s="8">
        <v>6</v>
      </c>
      <c r="S122" s="18"/>
      <c r="T122" t="s" s="8">
        <v>6</v>
      </c>
      <c r="U122" s="18"/>
      <c r="V122" t="s" s="8">
        <v>6</v>
      </c>
      <c r="W122" s="18"/>
      <c r="X122" t="s" s="8">
        <v>6</v>
      </c>
      <c r="Y122" s="18"/>
      <c r="Z122" t="s" s="8">
        <v>6</v>
      </c>
      <c r="AA122" s="18"/>
      <c r="AB122" t="s" s="8">
        <v>6</v>
      </c>
      <c r="AC122" s="18"/>
      <c r="AD122" s="71"/>
      <c r="AE122" s="7"/>
      <c r="AF122" s="7"/>
    </row>
    <row r="123" ht="13.55" customHeight="1">
      <c r="A123" s="255"/>
      <c r="B123" s="27"/>
      <c r="C123" s="9"/>
      <c r="D123" s="27"/>
      <c r="E123" s="9"/>
      <c r="F123" t="s" s="8">
        <v>8</v>
      </c>
      <c r="G123" s="26">
        <v>1300</v>
      </c>
      <c r="H123" t="s" s="8">
        <v>8</v>
      </c>
      <c r="I123" s="27"/>
      <c r="J123" t="s" s="8">
        <v>8</v>
      </c>
      <c r="K123" s="27"/>
      <c r="L123" t="s" s="8">
        <v>8</v>
      </c>
      <c r="M123" s="27"/>
      <c r="N123" t="s" s="8">
        <v>8</v>
      </c>
      <c r="O123" s="27"/>
      <c r="P123" t="s" s="8">
        <v>8</v>
      </c>
      <c r="Q123" s="27"/>
      <c r="R123" t="s" s="8">
        <v>8</v>
      </c>
      <c r="S123" s="27"/>
      <c r="T123" t="s" s="8">
        <v>8</v>
      </c>
      <c r="U123" s="27"/>
      <c r="V123" t="s" s="8">
        <v>8</v>
      </c>
      <c r="W123" s="27"/>
      <c r="X123" t="s" s="8">
        <v>8</v>
      </c>
      <c r="Y123" s="27"/>
      <c r="Z123" t="s" s="8">
        <v>8</v>
      </c>
      <c r="AA123" s="27"/>
      <c r="AB123" t="s" s="8">
        <v>8</v>
      </c>
      <c r="AC123" s="27"/>
      <c r="AD123" s="31" cm="1">
        <f t="array" ref="AD123">G123+I123+K123+M123+O123+Q123+S123+U123+W123+Y123+AA123+AC123</f>
        <v>1300</v>
      </c>
      <c r="AE123" s="50" cm="1">
        <f t="array" ref="AE123">1200*12</f>
        <v>14400</v>
      </c>
      <c r="AF123" s="51" cm="1">
        <f t="array" ref="AF123">AE123-AD123</f>
        <v>13100</v>
      </c>
    </row>
    <row r="124" ht="13.55" customHeight="1">
      <c r="A124" s="255"/>
      <c r="B124" s="27"/>
      <c r="C124" t="s" s="8">
        <v>9</v>
      </c>
      <c r="D124" s="26">
        <v>1000</v>
      </c>
      <c r="E124" s="9"/>
      <c r="F124" t="s" s="8">
        <v>10</v>
      </c>
      <c r="G124" t="s" s="33">
        <v>74</v>
      </c>
      <c r="H124" t="s" s="8">
        <v>10</v>
      </c>
      <c r="I124" s="34"/>
      <c r="J124" t="s" s="8">
        <v>10</v>
      </c>
      <c r="K124" s="34"/>
      <c r="L124" t="s" s="8">
        <v>10</v>
      </c>
      <c r="M124" s="34"/>
      <c r="N124" t="s" s="8">
        <v>10</v>
      </c>
      <c r="O124" s="34"/>
      <c r="P124" t="s" s="8">
        <v>10</v>
      </c>
      <c r="Q124" s="34"/>
      <c r="R124" t="s" s="8">
        <v>10</v>
      </c>
      <c r="S124" s="34"/>
      <c r="T124" t="s" s="8">
        <v>10</v>
      </c>
      <c r="U124" s="34"/>
      <c r="V124" t="s" s="8">
        <v>10</v>
      </c>
      <c r="W124" s="34"/>
      <c r="X124" t="s" s="8">
        <v>10</v>
      </c>
      <c r="Y124" s="34"/>
      <c r="Z124" t="s" s="8">
        <v>10</v>
      </c>
      <c r="AA124" s="34"/>
      <c r="AB124" t="s" s="8">
        <v>10</v>
      </c>
      <c r="AC124" s="34"/>
      <c r="AD124" s="23"/>
      <c r="AE124" s="13"/>
      <c r="AF124" s="7"/>
    </row>
    <row r="125" ht="13.75" customHeight="1">
      <c r="A125" s="255"/>
      <c r="B125" t="s" s="8">
        <v>636</v>
      </c>
      <c r="C125" s="9"/>
      <c r="D125" s="299"/>
      <c r="E125" t="s" s="8">
        <v>14</v>
      </c>
      <c r="F125" t="s" s="8">
        <v>6</v>
      </c>
      <c r="G125" s="253"/>
      <c r="H125" t="s" s="8">
        <v>6</v>
      </c>
      <c r="I125" s="16">
        <v>2194</v>
      </c>
      <c r="J125" t="s" s="8">
        <v>6</v>
      </c>
      <c r="K125" s="253"/>
      <c r="L125" t="s" s="8">
        <v>6</v>
      </c>
      <c r="M125" s="18"/>
      <c r="N125" t="s" s="8">
        <v>6</v>
      </c>
      <c r="O125" s="18"/>
      <c r="P125" t="s" s="8">
        <v>6</v>
      </c>
      <c r="Q125" s="18"/>
      <c r="R125" t="s" s="8">
        <v>6</v>
      </c>
      <c r="S125" s="18"/>
      <c r="T125" t="s" s="8">
        <v>6</v>
      </c>
      <c r="U125" s="18"/>
      <c r="V125" t="s" s="8">
        <v>6</v>
      </c>
      <c r="W125" s="18"/>
      <c r="X125" t="s" s="8">
        <v>6</v>
      </c>
      <c r="Y125" s="18"/>
      <c r="Z125" t="s" s="8">
        <v>6</v>
      </c>
      <c r="AA125" s="18"/>
      <c r="AB125" t="s" s="8">
        <v>6</v>
      </c>
      <c r="AC125" s="18"/>
      <c r="AD125" s="23"/>
      <c r="AE125" s="13"/>
      <c r="AF125" s="7"/>
    </row>
    <row r="126" ht="13.55" customHeight="1">
      <c r="A126" s="255"/>
      <c r="B126" t="s" s="8">
        <v>637</v>
      </c>
      <c r="C126" s="9"/>
      <c r="D126" s="23"/>
      <c r="E126" s="9"/>
      <c r="F126" t="s" s="8">
        <v>8</v>
      </c>
      <c r="G126" s="253"/>
      <c r="H126" t="s" s="8">
        <v>8</v>
      </c>
      <c r="I126" s="26">
        <v>600</v>
      </c>
      <c r="J126" t="s" s="8">
        <v>8</v>
      </c>
      <c r="K126" s="253"/>
      <c r="L126" t="s" s="8">
        <v>8</v>
      </c>
      <c r="M126" s="27"/>
      <c r="N126" t="s" s="8">
        <v>8</v>
      </c>
      <c r="O126" s="27"/>
      <c r="P126" t="s" s="8">
        <v>8</v>
      </c>
      <c r="Q126" s="27"/>
      <c r="R126" t="s" s="8">
        <v>8</v>
      </c>
      <c r="S126" s="27"/>
      <c r="T126" t="s" s="8">
        <v>8</v>
      </c>
      <c r="U126" s="27"/>
      <c r="V126" t="s" s="8">
        <v>8</v>
      </c>
      <c r="W126" s="27"/>
      <c r="X126" t="s" s="8">
        <v>8</v>
      </c>
      <c r="Y126" s="27"/>
      <c r="Z126" t="s" s="8">
        <v>8</v>
      </c>
      <c r="AA126" s="27"/>
      <c r="AB126" t="s" s="8">
        <v>8</v>
      </c>
      <c r="AC126" s="27"/>
      <c r="AD126" s="31" cm="1">
        <f t="array" ref="AD126">G126+I126+K126+M126+O126+Q126+S126+U126+W126+Y126+AA126+AC126</f>
        <v>600</v>
      </c>
      <c r="AE126" s="50" cm="1">
        <f t="array" ref="AE126">500*9</f>
        <v>4500</v>
      </c>
      <c r="AF126" s="51" cm="1">
        <f t="array" ref="AF126">AE126-AD126</f>
        <v>3900</v>
      </c>
    </row>
    <row r="127" ht="13.55" customHeight="1">
      <c r="A127" s="255"/>
      <c r="B127" s="326"/>
      <c r="C127" s="303"/>
      <c r="D127" s="327"/>
      <c r="E127" s="9"/>
      <c r="F127" t="s" s="8">
        <v>10</v>
      </c>
      <c r="G127" s="253"/>
      <c r="H127" t="s" s="8">
        <v>10</v>
      </c>
      <c r="I127" t="s" s="33">
        <v>420</v>
      </c>
      <c r="J127" t="s" s="8">
        <v>10</v>
      </c>
      <c r="K127" s="253"/>
      <c r="L127" t="s" s="8">
        <v>10</v>
      </c>
      <c r="M127" s="34"/>
      <c r="N127" t="s" s="8">
        <v>10</v>
      </c>
      <c r="O127" s="34"/>
      <c r="P127" t="s" s="8">
        <v>10</v>
      </c>
      <c r="Q127" s="34"/>
      <c r="R127" t="s" s="8">
        <v>10</v>
      </c>
      <c r="S127" s="34"/>
      <c r="T127" t="s" s="8">
        <v>10</v>
      </c>
      <c r="U127" s="34"/>
      <c r="V127" t="s" s="8">
        <v>10</v>
      </c>
      <c r="W127" s="34"/>
      <c r="X127" t="s" s="8">
        <v>10</v>
      </c>
      <c r="Y127" s="34"/>
      <c r="Z127" t="s" s="8">
        <v>10</v>
      </c>
      <c r="AA127" s="34"/>
      <c r="AB127" t="s" s="8">
        <v>10</v>
      </c>
      <c r="AC127" s="34"/>
      <c r="AD127" s="72"/>
      <c r="AE127" s="7"/>
      <c r="AF127" s="7"/>
    </row>
    <row r="128" ht="13.55" customHeight="1">
      <c r="A128" s="333"/>
      <c r="B128" s="334"/>
      <c r="C128" s="303"/>
      <c r="D128" s="303"/>
      <c r="E128" s="304"/>
      <c r="F128" s="337"/>
      <c r="G128" s="304"/>
      <c r="H128" s="337"/>
      <c r="I128" s="304"/>
      <c r="J128" s="337"/>
      <c r="K128" s="304"/>
      <c r="L128" s="304"/>
      <c r="M128" s="304"/>
      <c r="N128" s="304"/>
      <c r="O128" s="304"/>
      <c r="P128" s="304"/>
      <c r="Q128" s="304"/>
      <c r="R128" s="307"/>
      <c r="S128" s="307"/>
      <c r="T128" s="307"/>
      <c r="U128" s="307"/>
      <c r="V128" s="307"/>
      <c r="W128" s="70"/>
      <c r="X128" s="70"/>
      <c r="Y128" s="70"/>
      <c r="Z128" s="70"/>
      <c r="AA128" s="70"/>
      <c r="AB128" s="164"/>
      <c r="AC128" s="23"/>
      <c r="AD128" s="13"/>
      <c r="AE128" s="7"/>
      <c r="AF128" s="7"/>
    </row>
    <row r="129" ht="13.75" customHeight="1">
      <c r="A129" s="254">
        <v>19</v>
      </c>
      <c r="B129" t="s" s="130">
        <v>638</v>
      </c>
      <c r="C129" s="9"/>
      <c r="D129" s="299"/>
      <c r="E129" t="s" s="8">
        <v>5</v>
      </c>
      <c r="F129" t="s" s="8">
        <v>6</v>
      </c>
      <c r="G129" s="16">
        <v>1162</v>
      </c>
      <c r="H129" t="s" s="8">
        <v>6</v>
      </c>
      <c r="I129" s="16">
        <v>3153</v>
      </c>
      <c r="J129" t="s" s="8">
        <v>6</v>
      </c>
      <c r="K129" s="18"/>
      <c r="L129" t="s" s="8">
        <v>6</v>
      </c>
      <c r="M129" s="18"/>
      <c r="N129" t="s" s="8">
        <v>6</v>
      </c>
      <c r="O129" s="18"/>
      <c r="P129" t="s" s="8">
        <v>6</v>
      </c>
      <c r="Q129" s="18"/>
      <c r="R129" s="308"/>
      <c r="S129" s="309"/>
      <c r="T129" s="309"/>
      <c r="U129" s="309"/>
      <c r="V129" s="309"/>
      <c r="W129" s="7"/>
      <c r="X129" s="7"/>
      <c r="Y129" s="7"/>
      <c r="Z129" s="7"/>
      <c r="AA129" s="7"/>
      <c r="AB129" s="7"/>
      <c r="AC129" s="70"/>
      <c r="AD129" s="7"/>
      <c r="AE129" s="7"/>
      <c r="AF129" s="7"/>
    </row>
    <row r="130" ht="13.75" customHeight="1">
      <c r="A130" s="255"/>
      <c r="B130" t="s" s="228">
        <v>68</v>
      </c>
      <c r="C130" t="s" s="8">
        <v>7</v>
      </c>
      <c r="D130" s="26">
        <v>1000</v>
      </c>
      <c r="E130" s="9"/>
      <c r="F130" t="s" s="8">
        <v>8</v>
      </c>
      <c r="G130" s="26">
        <v>1300</v>
      </c>
      <c r="H130" t="s" s="8">
        <v>8</v>
      </c>
      <c r="I130" s="26">
        <v>1300</v>
      </c>
      <c r="J130" t="s" s="8">
        <v>8</v>
      </c>
      <c r="K130" s="27"/>
      <c r="L130" t="s" s="8">
        <v>8</v>
      </c>
      <c r="M130" s="27"/>
      <c r="N130" t="s" s="8">
        <v>8</v>
      </c>
      <c r="O130" s="27"/>
      <c r="P130" t="s" s="8">
        <v>8</v>
      </c>
      <c r="Q130" s="27"/>
      <c r="R130" s="308"/>
      <c r="S130" s="309"/>
      <c r="T130" s="309"/>
      <c r="U130" s="309"/>
      <c r="V130" s="309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3.55" customHeight="1">
      <c r="A131" s="255"/>
      <c r="B131" s="27"/>
      <c r="C131" t="s" s="8">
        <v>9</v>
      </c>
      <c r="D131" s="26">
        <v>1000</v>
      </c>
      <c r="E131" s="9"/>
      <c r="F131" t="s" s="8">
        <v>10</v>
      </c>
      <c r="G131" t="s" s="33">
        <v>70</v>
      </c>
      <c r="H131" t="s" s="8">
        <v>10</v>
      </c>
      <c r="I131" t="s" s="33">
        <v>453</v>
      </c>
      <c r="J131" t="s" s="8">
        <v>10</v>
      </c>
      <c r="K131" s="34"/>
      <c r="L131" t="s" s="8">
        <v>10</v>
      </c>
      <c r="M131" s="34"/>
      <c r="N131" t="s" s="8">
        <v>10</v>
      </c>
      <c r="O131" s="34"/>
      <c r="P131" t="s" s="8">
        <v>10</v>
      </c>
      <c r="Q131" s="34"/>
      <c r="R131" s="308"/>
      <c r="S131" s="309"/>
      <c r="T131" s="309"/>
      <c r="U131" s="309"/>
      <c r="V131" s="309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3.75" customHeight="1">
      <c r="A132" s="255"/>
      <c r="B132" t="s" s="8">
        <v>639</v>
      </c>
      <c r="C132" s="9"/>
      <c r="D132" s="299"/>
      <c r="E132" t="s" s="8">
        <v>14</v>
      </c>
      <c r="F132" t="s" s="8">
        <v>6</v>
      </c>
      <c r="G132" s="16">
        <v>2078</v>
      </c>
      <c r="H132" t="s" s="8">
        <v>6</v>
      </c>
      <c r="I132" s="16">
        <v>2141</v>
      </c>
      <c r="J132" t="s" s="8">
        <v>6</v>
      </c>
      <c r="K132" s="253"/>
      <c r="L132" t="s" s="8">
        <v>6</v>
      </c>
      <c r="M132" s="18"/>
      <c r="N132" t="s" s="8">
        <v>6</v>
      </c>
      <c r="O132" s="18"/>
      <c r="P132" t="s" s="8">
        <v>6</v>
      </c>
      <c r="Q132" s="18"/>
      <c r="R132" s="308"/>
      <c r="S132" s="309"/>
      <c r="T132" s="309"/>
      <c r="U132" s="309"/>
      <c r="V132" s="309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3.55" customHeight="1">
      <c r="A133" s="255"/>
      <c r="B133" t="s" s="8">
        <v>640</v>
      </c>
      <c r="C133" s="9"/>
      <c r="D133" s="23"/>
      <c r="E133" s="9"/>
      <c r="F133" t="s" s="8">
        <v>8</v>
      </c>
      <c r="G133" s="26">
        <v>1200</v>
      </c>
      <c r="H133" t="s" s="8">
        <v>8</v>
      </c>
      <c r="I133" s="26">
        <v>1200</v>
      </c>
      <c r="J133" t="s" s="8">
        <v>8</v>
      </c>
      <c r="K133" s="253"/>
      <c r="L133" t="s" s="8">
        <v>8</v>
      </c>
      <c r="M133" s="27"/>
      <c r="N133" t="s" s="8">
        <v>8</v>
      </c>
      <c r="O133" s="27"/>
      <c r="P133" t="s" s="8">
        <v>8</v>
      </c>
      <c r="Q133" s="27"/>
      <c r="R133" s="308"/>
      <c r="S133" s="309"/>
      <c r="T133" s="309"/>
      <c r="U133" s="309"/>
      <c r="V133" s="309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3.55" customHeight="1">
      <c r="A134" s="255"/>
      <c r="B134" s="326"/>
      <c r="C134" s="303"/>
      <c r="D134" s="327"/>
      <c r="E134" s="9"/>
      <c r="F134" t="s" s="8">
        <v>10</v>
      </c>
      <c r="G134" t="s" s="33">
        <v>70</v>
      </c>
      <c r="H134" t="s" s="8">
        <v>10</v>
      </c>
      <c r="I134" t="s" s="33">
        <v>453</v>
      </c>
      <c r="J134" t="s" s="8">
        <v>10</v>
      </c>
      <c r="K134" s="253"/>
      <c r="L134" t="s" s="8">
        <v>10</v>
      </c>
      <c r="M134" s="34"/>
      <c r="N134" t="s" s="8">
        <v>10</v>
      </c>
      <c r="O134" s="34"/>
      <c r="P134" t="s" s="8">
        <v>10</v>
      </c>
      <c r="Q134" s="34"/>
      <c r="R134" s="308"/>
      <c r="S134" s="309"/>
      <c r="T134" s="309"/>
      <c r="U134" s="309"/>
      <c r="V134" s="309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3.55" customHeight="1">
      <c r="A135" s="333"/>
      <c r="B135" s="338"/>
      <c r="C135" s="304"/>
      <c r="D135" s="304"/>
      <c r="E135" s="304"/>
      <c r="F135" s="304"/>
      <c r="G135" s="303"/>
      <c r="H135" s="304"/>
      <c r="I135" s="337"/>
      <c r="J135" s="304"/>
      <c r="K135" s="303"/>
      <c r="L135" s="304"/>
      <c r="M135" s="337"/>
      <c r="N135" s="304"/>
      <c r="O135" s="337"/>
      <c r="P135" s="304"/>
      <c r="Q135" s="337"/>
      <c r="R135" s="309"/>
      <c r="S135" s="309"/>
      <c r="T135" s="309"/>
      <c r="U135" s="309"/>
      <c r="V135" s="309"/>
      <c r="W135" s="309"/>
      <c r="X135" s="309"/>
      <c r="Y135" s="309"/>
      <c r="Z135" s="309"/>
      <c r="AA135" s="309"/>
      <c r="AB135" s="309"/>
      <c r="AC135" s="309"/>
      <c r="AD135" s="7"/>
      <c r="AE135" s="7"/>
      <c r="AF135" s="7"/>
    </row>
    <row r="136" ht="13.75" customHeight="1">
      <c r="A136" s="254">
        <v>20</v>
      </c>
      <c r="B136" t="s" s="130">
        <v>641</v>
      </c>
      <c r="C136" s="9"/>
      <c r="D136" s="299"/>
      <c r="E136" t="s" s="8">
        <v>5</v>
      </c>
      <c r="F136" t="s" s="8">
        <v>6</v>
      </c>
      <c r="G136" s="16">
        <v>1058</v>
      </c>
      <c r="H136" t="s" s="8">
        <v>6</v>
      </c>
      <c r="I136" s="16">
        <v>1058</v>
      </c>
      <c r="J136" t="s" s="8">
        <v>6</v>
      </c>
      <c r="K136" s="18"/>
      <c r="L136" t="s" s="8">
        <v>6</v>
      </c>
      <c r="M136" s="18"/>
      <c r="N136" t="s" s="8">
        <v>6</v>
      </c>
      <c r="O136" s="18"/>
      <c r="P136" t="s" s="8">
        <v>6</v>
      </c>
      <c r="Q136" s="18"/>
      <c r="R136" s="308"/>
      <c r="S136" s="309"/>
      <c r="T136" s="309"/>
      <c r="U136" s="309"/>
      <c r="V136" s="309"/>
      <c r="W136" s="309"/>
      <c r="X136" s="309"/>
      <c r="Y136" s="309"/>
      <c r="Z136" s="309"/>
      <c r="AA136" s="309"/>
      <c r="AB136" s="309"/>
      <c r="AC136" s="309"/>
      <c r="AD136" s="7"/>
      <c r="AE136" s="7"/>
      <c r="AF136" s="7"/>
    </row>
    <row r="137" ht="13.75" customHeight="1">
      <c r="A137" s="255"/>
      <c r="B137" t="s" s="228">
        <v>68</v>
      </c>
      <c r="C137" t="s" s="8">
        <v>7</v>
      </c>
      <c r="D137" s="26">
        <v>1000</v>
      </c>
      <c r="E137" s="9"/>
      <c r="F137" t="s" s="8">
        <v>8</v>
      </c>
      <c r="G137" s="26">
        <v>1300</v>
      </c>
      <c r="H137" t="s" s="8">
        <v>8</v>
      </c>
      <c r="I137" s="26">
        <v>1300</v>
      </c>
      <c r="J137" t="s" s="8">
        <v>8</v>
      </c>
      <c r="K137" s="27"/>
      <c r="L137" t="s" s="8">
        <v>8</v>
      </c>
      <c r="M137" s="27"/>
      <c r="N137" t="s" s="8">
        <v>8</v>
      </c>
      <c r="O137" s="27"/>
      <c r="P137" t="s" s="8">
        <v>8</v>
      </c>
      <c r="Q137" s="27"/>
      <c r="R137" s="308"/>
      <c r="S137" s="309"/>
      <c r="T137" s="309"/>
      <c r="U137" s="309"/>
      <c r="V137" s="309"/>
      <c r="W137" s="309"/>
      <c r="X137" s="309"/>
      <c r="Y137" s="309"/>
      <c r="Z137" s="309"/>
      <c r="AA137" s="309"/>
      <c r="AB137" s="309"/>
      <c r="AC137" s="309"/>
      <c r="AD137" s="7"/>
      <c r="AE137" s="7"/>
      <c r="AF137" s="7"/>
    </row>
    <row r="138" ht="13.55" customHeight="1">
      <c r="A138" s="255"/>
      <c r="B138" s="27"/>
      <c r="C138" t="s" s="8">
        <v>9</v>
      </c>
      <c r="D138" s="26">
        <v>1000</v>
      </c>
      <c r="E138" s="9"/>
      <c r="F138" t="s" s="8">
        <v>10</v>
      </c>
      <c r="G138" t="s" s="33">
        <v>159</v>
      </c>
      <c r="H138" t="s" s="8">
        <v>10</v>
      </c>
      <c r="I138" t="s" s="33">
        <v>159</v>
      </c>
      <c r="J138" t="s" s="8">
        <v>10</v>
      </c>
      <c r="K138" s="34"/>
      <c r="L138" t="s" s="8">
        <v>10</v>
      </c>
      <c r="M138" s="34"/>
      <c r="N138" t="s" s="8">
        <v>10</v>
      </c>
      <c r="O138" s="34"/>
      <c r="P138" t="s" s="8">
        <v>10</v>
      </c>
      <c r="Q138" s="34"/>
      <c r="R138" s="308"/>
      <c r="S138" s="309"/>
      <c r="T138" s="309"/>
      <c r="U138" s="309"/>
      <c r="V138" s="309"/>
      <c r="W138" s="309"/>
      <c r="X138" s="309"/>
      <c r="Y138" s="309"/>
      <c r="Z138" s="309"/>
      <c r="AA138" s="309"/>
      <c r="AB138" s="309"/>
      <c r="AC138" s="309"/>
      <c r="AD138" s="7"/>
      <c r="AE138" s="7"/>
      <c r="AF138" s="7"/>
    </row>
    <row r="139" ht="13.75" customHeight="1">
      <c r="A139" s="255"/>
      <c r="B139" t="s" s="8">
        <v>642</v>
      </c>
      <c r="C139" s="9"/>
      <c r="D139" s="299"/>
      <c r="E139" t="s" s="8">
        <v>14</v>
      </c>
      <c r="F139" t="s" s="8">
        <v>6</v>
      </c>
      <c r="G139" s="16">
        <v>2006</v>
      </c>
      <c r="H139" t="s" s="8">
        <v>6</v>
      </c>
      <c r="I139" s="9"/>
      <c r="J139" t="s" s="8">
        <v>6</v>
      </c>
      <c r="K139" s="253"/>
      <c r="L139" t="s" s="8">
        <v>6</v>
      </c>
      <c r="M139" s="18"/>
      <c r="N139" t="s" s="8">
        <v>6</v>
      </c>
      <c r="O139" s="18"/>
      <c r="P139" t="s" s="8">
        <v>6</v>
      </c>
      <c r="Q139" s="18"/>
      <c r="R139" s="308"/>
      <c r="S139" s="309"/>
      <c r="T139" s="309"/>
      <c r="U139" s="309"/>
      <c r="V139" s="309"/>
      <c r="W139" s="309"/>
      <c r="X139" s="309"/>
      <c r="Y139" s="309"/>
      <c r="Z139" s="309"/>
      <c r="AA139" s="309"/>
      <c r="AB139" s="309"/>
      <c r="AC139" s="309"/>
      <c r="AD139" s="7"/>
      <c r="AE139" s="7"/>
      <c r="AF139" s="7"/>
    </row>
    <row r="140" ht="13.55" customHeight="1">
      <c r="A140" s="255"/>
      <c r="B140" t="s" s="8">
        <v>643</v>
      </c>
      <c r="C140" s="9"/>
      <c r="D140" s="23"/>
      <c r="E140" s="9"/>
      <c r="F140" t="s" s="8">
        <v>8</v>
      </c>
      <c r="G140" s="26">
        <v>1200</v>
      </c>
      <c r="H140" t="s" s="8">
        <v>8</v>
      </c>
      <c r="I140" s="42"/>
      <c r="J140" t="s" s="8">
        <v>8</v>
      </c>
      <c r="K140" s="253"/>
      <c r="L140" t="s" s="8">
        <v>8</v>
      </c>
      <c r="M140" s="27"/>
      <c r="N140" t="s" s="8">
        <v>8</v>
      </c>
      <c r="O140" s="27"/>
      <c r="P140" t="s" s="8">
        <v>8</v>
      </c>
      <c r="Q140" s="27"/>
      <c r="R140" s="308"/>
      <c r="S140" s="309"/>
      <c r="T140" s="309"/>
      <c r="U140" s="309"/>
      <c r="V140" s="309"/>
      <c r="W140" s="309"/>
      <c r="X140" s="309"/>
      <c r="Y140" s="309"/>
      <c r="Z140" s="309"/>
      <c r="AA140" s="309"/>
      <c r="AB140" s="309"/>
      <c r="AC140" s="309"/>
      <c r="AD140" s="7"/>
      <c r="AE140" s="7"/>
      <c r="AF140" s="7"/>
    </row>
    <row r="141" ht="13.55" customHeight="1">
      <c r="A141" s="255"/>
      <c r="B141" s="326"/>
      <c r="C141" s="303"/>
      <c r="D141" s="327"/>
      <c r="E141" s="9"/>
      <c r="F141" t="s" s="8">
        <v>10</v>
      </c>
      <c r="G141" t="s" s="33">
        <v>190</v>
      </c>
      <c r="H141" t="s" s="8">
        <v>10</v>
      </c>
      <c r="I141" s="9"/>
      <c r="J141" t="s" s="8">
        <v>10</v>
      </c>
      <c r="K141" s="253"/>
      <c r="L141" t="s" s="8">
        <v>10</v>
      </c>
      <c r="M141" s="34"/>
      <c r="N141" t="s" s="8">
        <v>10</v>
      </c>
      <c r="O141" s="34"/>
      <c r="P141" t="s" s="8">
        <v>10</v>
      </c>
      <c r="Q141" s="34"/>
      <c r="R141" s="308"/>
      <c r="S141" s="309"/>
      <c r="T141" s="309"/>
      <c r="U141" s="309"/>
      <c r="V141" s="309"/>
      <c r="W141" s="309"/>
      <c r="X141" s="309"/>
      <c r="Y141" s="309"/>
      <c r="Z141" s="309"/>
      <c r="AA141" s="309"/>
      <c r="AB141" s="309"/>
      <c r="AC141" s="309"/>
      <c r="AD141" s="7"/>
      <c r="AE141" s="7"/>
      <c r="AF141" s="7"/>
    </row>
    <row r="142" ht="13.55" customHeight="1">
      <c r="A142" s="333"/>
      <c r="B142" s="338"/>
      <c r="C142" s="304"/>
      <c r="D142" s="304"/>
      <c r="E142" s="304"/>
      <c r="F142" s="304"/>
      <c r="G142" s="303"/>
      <c r="H142" s="304"/>
      <c r="I142" s="337"/>
      <c r="J142" s="304"/>
      <c r="K142" s="303"/>
      <c r="L142" s="304"/>
      <c r="M142" s="337"/>
      <c r="N142" s="304"/>
      <c r="O142" s="337"/>
      <c r="P142" s="304"/>
      <c r="Q142" s="337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  <c r="AB142" s="309"/>
      <c r="AC142" s="309"/>
      <c r="AD142" s="7"/>
      <c r="AE142" s="7"/>
      <c r="AF142" s="7"/>
    </row>
    <row r="143" ht="13.75" customHeight="1">
      <c r="A143" s="254">
        <v>21</v>
      </c>
      <c r="B143" t="s" s="130">
        <v>644</v>
      </c>
      <c r="C143" s="9"/>
      <c r="D143" s="299"/>
      <c r="E143" t="s" s="8">
        <v>5</v>
      </c>
      <c r="F143" t="s" s="8">
        <v>6</v>
      </c>
      <c r="G143" s="16">
        <v>1139</v>
      </c>
      <c r="H143" t="s" s="8">
        <v>6</v>
      </c>
      <c r="I143" s="18"/>
      <c r="J143" t="s" s="8">
        <v>6</v>
      </c>
      <c r="K143" s="18"/>
      <c r="L143" t="s" s="8">
        <v>6</v>
      </c>
      <c r="M143" s="18"/>
      <c r="N143" t="s" s="8">
        <v>6</v>
      </c>
      <c r="O143" s="18"/>
      <c r="P143" t="s" s="8">
        <v>6</v>
      </c>
      <c r="Q143" s="18"/>
      <c r="R143" s="308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7"/>
      <c r="AE143" s="7"/>
      <c r="AF143" s="7"/>
    </row>
    <row r="144" ht="13.75" customHeight="1">
      <c r="A144" s="255"/>
      <c r="B144" t="s" s="228">
        <v>68</v>
      </c>
      <c r="C144" t="s" s="8">
        <v>7</v>
      </c>
      <c r="D144" s="26">
        <v>1000</v>
      </c>
      <c r="E144" s="9"/>
      <c r="F144" t="s" s="8">
        <v>8</v>
      </c>
      <c r="G144" s="26">
        <v>1300</v>
      </c>
      <c r="H144" t="s" s="8">
        <v>8</v>
      </c>
      <c r="I144" s="27"/>
      <c r="J144" t="s" s="8">
        <v>8</v>
      </c>
      <c r="K144" s="27"/>
      <c r="L144" t="s" s="8">
        <v>8</v>
      </c>
      <c r="M144" s="27"/>
      <c r="N144" t="s" s="8">
        <v>8</v>
      </c>
      <c r="O144" s="27"/>
      <c r="P144" t="s" s="8">
        <v>8</v>
      </c>
      <c r="Q144" s="27"/>
      <c r="R144" s="308"/>
      <c r="S144" s="309"/>
      <c r="T144" s="309"/>
      <c r="U144" s="309"/>
      <c r="V144" s="309"/>
      <c r="W144" s="309"/>
      <c r="X144" s="309"/>
      <c r="Y144" s="309"/>
      <c r="Z144" s="309"/>
      <c r="AA144" s="309"/>
      <c r="AB144" s="309"/>
      <c r="AC144" s="309"/>
      <c r="AD144" s="7"/>
      <c r="AE144" s="7"/>
      <c r="AF144" s="7"/>
    </row>
    <row r="145" ht="13.55" customHeight="1">
      <c r="A145" s="255"/>
      <c r="B145" s="27"/>
      <c r="C145" t="s" s="8">
        <v>9</v>
      </c>
      <c r="D145" s="26">
        <v>1000</v>
      </c>
      <c r="E145" s="9"/>
      <c r="F145" t="s" s="8">
        <v>10</v>
      </c>
      <c r="G145" t="s" s="33">
        <v>31</v>
      </c>
      <c r="H145" t="s" s="8">
        <v>10</v>
      </c>
      <c r="I145" s="34"/>
      <c r="J145" t="s" s="8">
        <v>10</v>
      </c>
      <c r="K145" s="34"/>
      <c r="L145" t="s" s="8">
        <v>10</v>
      </c>
      <c r="M145" s="34"/>
      <c r="N145" t="s" s="8">
        <v>10</v>
      </c>
      <c r="O145" s="34"/>
      <c r="P145" t="s" s="8">
        <v>10</v>
      </c>
      <c r="Q145" s="34"/>
      <c r="R145" s="308"/>
      <c r="S145" s="309"/>
      <c r="T145" s="309"/>
      <c r="U145" s="309"/>
      <c r="V145" s="309"/>
      <c r="W145" s="309"/>
      <c r="X145" s="309"/>
      <c r="Y145" s="309"/>
      <c r="Z145" s="309"/>
      <c r="AA145" s="309"/>
      <c r="AB145" s="309"/>
      <c r="AC145" s="309"/>
      <c r="AD145" s="7"/>
      <c r="AE145" s="7"/>
      <c r="AF145" s="7"/>
    </row>
    <row r="146" ht="13.75" customHeight="1">
      <c r="A146" s="255"/>
      <c r="B146" t="s" s="8">
        <v>645</v>
      </c>
      <c r="C146" s="9"/>
      <c r="D146" s="299"/>
      <c r="E146" t="s" s="8">
        <v>14</v>
      </c>
      <c r="F146" t="s" s="8">
        <v>6</v>
      </c>
      <c r="G146" s="16">
        <v>2061</v>
      </c>
      <c r="H146" t="s" s="8">
        <v>6</v>
      </c>
      <c r="I146" s="9"/>
      <c r="J146" t="s" s="8">
        <v>6</v>
      </c>
      <c r="K146" s="253"/>
      <c r="L146" t="s" s="8">
        <v>6</v>
      </c>
      <c r="M146" s="18"/>
      <c r="N146" t="s" s="8">
        <v>6</v>
      </c>
      <c r="O146" s="18"/>
      <c r="P146" t="s" s="8">
        <v>6</v>
      </c>
      <c r="Q146" s="18"/>
      <c r="R146" s="308"/>
      <c r="S146" s="309"/>
      <c r="T146" s="309"/>
      <c r="U146" s="309"/>
      <c r="V146" s="309"/>
      <c r="W146" s="309"/>
      <c r="X146" s="309"/>
      <c r="Y146" s="309"/>
      <c r="Z146" s="309"/>
      <c r="AA146" s="309"/>
      <c r="AB146" s="309"/>
      <c r="AC146" s="309"/>
      <c r="AD146" s="7"/>
      <c r="AE146" s="7"/>
      <c r="AF146" s="7"/>
    </row>
    <row r="147" ht="13.55" customHeight="1">
      <c r="A147" s="255"/>
      <c r="B147" t="s" s="8">
        <v>646</v>
      </c>
      <c r="C147" s="9"/>
      <c r="D147" s="23"/>
      <c r="E147" s="9"/>
      <c r="F147" t="s" s="8">
        <v>8</v>
      </c>
      <c r="G147" s="26">
        <v>1200</v>
      </c>
      <c r="H147" t="s" s="8">
        <v>8</v>
      </c>
      <c r="I147" s="42"/>
      <c r="J147" t="s" s="8">
        <v>8</v>
      </c>
      <c r="K147" s="253"/>
      <c r="L147" t="s" s="8">
        <v>8</v>
      </c>
      <c r="M147" s="27"/>
      <c r="N147" t="s" s="8">
        <v>8</v>
      </c>
      <c r="O147" s="27"/>
      <c r="P147" t="s" s="8">
        <v>8</v>
      </c>
      <c r="Q147" s="27"/>
      <c r="R147" s="308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7"/>
      <c r="AE147" s="7"/>
      <c r="AF147" s="7"/>
    </row>
    <row r="148" ht="13.55" customHeight="1">
      <c r="A148" s="255"/>
      <c r="B148" s="326"/>
      <c r="C148" s="303"/>
      <c r="D148" s="327"/>
      <c r="E148" s="9"/>
      <c r="F148" t="s" s="8">
        <v>10</v>
      </c>
      <c r="G148" t="s" s="33">
        <v>31</v>
      </c>
      <c r="H148" t="s" s="8">
        <v>10</v>
      </c>
      <c r="I148" s="9"/>
      <c r="J148" t="s" s="8">
        <v>10</v>
      </c>
      <c r="K148" s="253"/>
      <c r="L148" t="s" s="8">
        <v>10</v>
      </c>
      <c r="M148" s="34"/>
      <c r="N148" t="s" s="8">
        <v>10</v>
      </c>
      <c r="O148" s="34"/>
      <c r="P148" t="s" s="8">
        <v>10</v>
      </c>
      <c r="Q148" s="34"/>
      <c r="R148" s="308"/>
      <c r="S148" s="309"/>
      <c r="T148" s="309"/>
      <c r="U148" s="309"/>
      <c r="V148" s="309"/>
      <c r="W148" s="309"/>
      <c r="X148" s="309"/>
      <c r="Y148" s="309"/>
      <c r="Z148" s="309"/>
      <c r="AA148" s="309"/>
      <c r="AB148" s="309"/>
      <c r="AC148" s="309"/>
      <c r="AD148" s="7"/>
      <c r="AE148" s="7"/>
      <c r="AF148" s="7"/>
    </row>
    <row r="149" ht="13.55" customHeight="1">
      <c r="A149" s="333"/>
      <c r="B149" s="338"/>
      <c r="C149" s="304"/>
      <c r="D149" s="304"/>
      <c r="E149" s="304"/>
      <c r="F149" s="304"/>
      <c r="G149" s="303"/>
      <c r="H149" s="304"/>
      <c r="I149" s="337"/>
      <c r="J149" s="304"/>
      <c r="K149" s="303"/>
      <c r="L149" s="304"/>
      <c r="M149" s="337"/>
      <c r="N149" s="304"/>
      <c r="O149" s="337"/>
      <c r="P149" s="304"/>
      <c r="Q149" s="337"/>
      <c r="R149" s="309"/>
      <c r="S149" s="309"/>
      <c r="T149" s="309"/>
      <c r="U149" s="309"/>
      <c r="V149" s="309"/>
      <c r="W149" s="309"/>
      <c r="X149" s="309"/>
      <c r="Y149" s="309"/>
      <c r="Z149" s="309"/>
      <c r="AA149" s="309"/>
      <c r="AB149" s="309"/>
      <c r="AC149" s="309"/>
      <c r="AD149" s="7"/>
      <c r="AE149" s="7"/>
      <c r="AF149" s="7"/>
    </row>
    <row r="150" ht="13.75" customHeight="1">
      <c r="A150" s="254">
        <v>22</v>
      </c>
      <c r="B150" t="s" s="130">
        <v>647</v>
      </c>
      <c r="C150" s="9"/>
      <c r="D150" s="299"/>
      <c r="E150" t="s" s="8">
        <v>5</v>
      </c>
      <c r="F150" t="s" s="8">
        <v>6</v>
      </c>
      <c r="G150" s="16">
        <v>1239</v>
      </c>
      <c r="H150" t="s" s="8">
        <v>6</v>
      </c>
      <c r="I150" s="16">
        <v>1239</v>
      </c>
      <c r="J150" t="s" s="8">
        <v>6</v>
      </c>
      <c r="K150" s="16">
        <v>1239</v>
      </c>
      <c r="L150" t="s" s="8">
        <v>6</v>
      </c>
      <c r="M150" s="18"/>
      <c r="N150" t="s" s="8">
        <v>6</v>
      </c>
      <c r="O150" s="18"/>
      <c r="P150" t="s" s="8">
        <v>6</v>
      </c>
      <c r="Q150" s="18"/>
      <c r="R150" s="13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3.75" customHeight="1">
      <c r="A151" s="255"/>
      <c r="B151" t="s" s="228">
        <v>68</v>
      </c>
      <c r="C151" t="s" s="8">
        <v>7</v>
      </c>
      <c r="D151" s="26">
        <v>1000</v>
      </c>
      <c r="E151" s="9"/>
      <c r="F151" t="s" s="8">
        <v>8</v>
      </c>
      <c r="G151" s="26">
        <v>1300</v>
      </c>
      <c r="H151" t="s" s="8">
        <v>8</v>
      </c>
      <c r="I151" s="26">
        <v>1300</v>
      </c>
      <c r="J151" t="s" s="8">
        <v>8</v>
      </c>
      <c r="K151" s="26">
        <v>1300</v>
      </c>
      <c r="L151" t="s" s="8">
        <v>8</v>
      </c>
      <c r="M151" s="27"/>
      <c r="N151" t="s" s="8">
        <v>8</v>
      </c>
      <c r="O151" s="27"/>
      <c r="P151" t="s" s="8">
        <v>8</v>
      </c>
      <c r="Q151" s="27"/>
      <c r="R151" s="308"/>
      <c r="S151" s="309"/>
      <c r="T151" s="309"/>
      <c r="U151" s="309"/>
      <c r="V151" s="309"/>
      <c r="W151" s="309"/>
      <c r="X151" s="309"/>
      <c r="Y151" s="309"/>
      <c r="Z151" s="309"/>
      <c r="AA151" s="309"/>
      <c r="AB151" s="309"/>
      <c r="AC151" s="309"/>
      <c r="AD151" s="7"/>
      <c r="AE151" s="7"/>
      <c r="AF151" s="7"/>
    </row>
    <row r="152" ht="13.55" customHeight="1">
      <c r="A152" s="255"/>
      <c r="B152" s="27"/>
      <c r="C152" t="s" s="8">
        <v>9</v>
      </c>
      <c r="D152" s="26">
        <v>1000</v>
      </c>
      <c r="E152" s="9"/>
      <c r="F152" t="s" s="8">
        <v>10</v>
      </c>
      <c r="G152" t="s" s="33">
        <v>154</v>
      </c>
      <c r="H152" t="s" s="8">
        <v>10</v>
      </c>
      <c r="I152" t="s" s="33">
        <v>154</v>
      </c>
      <c r="J152" t="s" s="8">
        <v>10</v>
      </c>
      <c r="K152" t="s" s="33">
        <v>154</v>
      </c>
      <c r="L152" t="s" s="8">
        <v>10</v>
      </c>
      <c r="M152" s="34"/>
      <c r="N152" t="s" s="8">
        <v>10</v>
      </c>
      <c r="O152" s="34"/>
      <c r="P152" t="s" s="8">
        <v>10</v>
      </c>
      <c r="Q152" s="34"/>
      <c r="R152" s="308"/>
      <c r="S152" s="309"/>
      <c r="T152" s="309"/>
      <c r="U152" s="309"/>
      <c r="V152" s="309"/>
      <c r="W152" s="309"/>
      <c r="X152" s="309"/>
      <c r="Y152" s="309"/>
      <c r="Z152" s="309"/>
      <c r="AA152" s="309"/>
      <c r="AB152" s="309"/>
      <c r="AC152" s="309"/>
      <c r="AD152" s="7"/>
      <c r="AE152" s="7"/>
      <c r="AF152" s="7"/>
    </row>
    <row r="153" ht="13.75" customHeight="1">
      <c r="A153" s="255"/>
      <c r="B153" t="s" s="8">
        <v>648</v>
      </c>
      <c r="C153" s="9"/>
      <c r="D153" s="299"/>
      <c r="E153" t="s" s="8">
        <v>14</v>
      </c>
      <c r="F153" t="s" s="8">
        <v>6</v>
      </c>
      <c r="G153" s="16">
        <v>2134</v>
      </c>
      <c r="H153" t="s" s="8">
        <v>6</v>
      </c>
      <c r="I153" s="9"/>
      <c r="J153" t="s" s="8">
        <v>6</v>
      </c>
      <c r="K153" s="253"/>
      <c r="L153" t="s" s="8">
        <v>6</v>
      </c>
      <c r="M153" s="18"/>
      <c r="N153" t="s" s="8">
        <v>6</v>
      </c>
      <c r="O153" s="18"/>
      <c r="P153" t="s" s="8">
        <v>6</v>
      </c>
      <c r="Q153" s="18"/>
      <c r="R153" s="308"/>
      <c r="S153" s="309"/>
      <c r="T153" s="309"/>
      <c r="U153" s="309"/>
      <c r="V153" s="309"/>
      <c r="W153" s="309"/>
      <c r="X153" s="309"/>
      <c r="Y153" s="309"/>
      <c r="Z153" s="309"/>
      <c r="AA153" s="309"/>
      <c r="AB153" s="309"/>
      <c r="AC153" s="309"/>
      <c r="AD153" s="7"/>
      <c r="AE153" s="7"/>
      <c r="AF153" s="7"/>
    </row>
    <row r="154" ht="13.55" customHeight="1">
      <c r="A154" s="255"/>
      <c r="B154" t="s" s="8">
        <v>649</v>
      </c>
      <c r="C154" s="9"/>
      <c r="D154" s="23"/>
      <c r="E154" s="9"/>
      <c r="F154" t="s" s="8">
        <v>8</v>
      </c>
      <c r="G154" s="26">
        <v>1000</v>
      </c>
      <c r="H154" t="s" s="8">
        <v>8</v>
      </c>
      <c r="I154" s="42"/>
      <c r="J154" t="s" s="8">
        <v>8</v>
      </c>
      <c r="K154" s="253"/>
      <c r="L154" t="s" s="8">
        <v>8</v>
      </c>
      <c r="M154" s="27"/>
      <c r="N154" t="s" s="8">
        <v>8</v>
      </c>
      <c r="O154" s="27"/>
      <c r="P154" t="s" s="8">
        <v>8</v>
      </c>
      <c r="Q154" s="27"/>
      <c r="R154" s="308"/>
      <c r="S154" s="309"/>
      <c r="T154" s="309"/>
      <c r="U154" s="309"/>
      <c r="V154" s="309"/>
      <c r="W154" s="309"/>
      <c r="X154" s="309"/>
      <c r="Y154" s="309"/>
      <c r="Z154" s="309"/>
      <c r="AA154" s="309"/>
      <c r="AB154" s="309"/>
      <c r="AC154" s="309"/>
      <c r="AD154" s="7"/>
      <c r="AE154" s="7"/>
      <c r="AF154" s="7"/>
    </row>
    <row r="155" ht="13.55" customHeight="1">
      <c r="A155" s="255"/>
      <c r="B155" s="326"/>
      <c r="C155" s="303"/>
      <c r="D155" s="327"/>
      <c r="E155" s="9"/>
      <c r="F155" t="s" s="8">
        <v>10</v>
      </c>
      <c r="G155" t="s" s="33">
        <v>154</v>
      </c>
      <c r="H155" t="s" s="8">
        <v>10</v>
      </c>
      <c r="I155" s="9"/>
      <c r="J155" t="s" s="8">
        <v>10</v>
      </c>
      <c r="K155" s="253"/>
      <c r="L155" t="s" s="8">
        <v>10</v>
      </c>
      <c r="M155" s="34"/>
      <c r="N155" t="s" s="8">
        <v>10</v>
      </c>
      <c r="O155" s="34"/>
      <c r="P155" t="s" s="8">
        <v>10</v>
      </c>
      <c r="Q155" s="34"/>
      <c r="R155" s="308"/>
      <c r="S155" s="335"/>
      <c r="T155" s="309"/>
      <c r="U155" s="309"/>
      <c r="V155" s="309"/>
      <c r="W155" s="309"/>
      <c r="X155" s="309"/>
      <c r="Y155" s="309"/>
      <c r="Z155" s="309"/>
      <c r="AA155" s="309"/>
      <c r="AB155" s="309"/>
      <c r="AC155" s="309"/>
      <c r="AD155" s="7"/>
      <c r="AE155" s="7"/>
      <c r="AF155" s="7"/>
    </row>
    <row r="156" ht="13.75" customHeight="1">
      <c r="A156" s="112"/>
      <c r="B156" s="113"/>
      <c r="C156" s="65"/>
      <c r="D156" s="65"/>
      <c r="E156" s="304"/>
      <c r="F156" s="304"/>
      <c r="G156" s="303"/>
      <c r="H156" s="304"/>
      <c r="I156" s="337"/>
      <c r="J156" s="304"/>
      <c r="K156" s="303"/>
      <c r="L156" s="304"/>
      <c r="M156" s="337"/>
      <c r="N156" s="304"/>
      <c r="O156" s="337"/>
      <c r="P156" s="304"/>
      <c r="Q156" s="337"/>
      <c r="R156" s="309"/>
      <c r="S156" s="339"/>
      <c r="T156" s="308"/>
      <c r="U156" s="309"/>
      <c r="V156" s="309"/>
      <c r="W156" s="309"/>
      <c r="X156" s="309"/>
      <c r="Y156" s="309"/>
      <c r="Z156" s="309"/>
      <c r="AA156" s="309"/>
      <c r="AB156" s="309"/>
      <c r="AC156" s="309"/>
      <c r="AD156" s="7"/>
      <c r="AE156" s="7"/>
      <c r="AF156" s="7"/>
    </row>
    <row r="157" ht="13.75" customHeight="1">
      <c r="A157" s="254">
        <v>23</v>
      </c>
      <c r="B157" t="s" s="130">
        <v>650</v>
      </c>
      <c r="C157" s="9"/>
      <c r="D157" s="299"/>
      <c r="E157" t="s" s="8">
        <v>5</v>
      </c>
      <c r="F157" t="s" s="8">
        <v>6</v>
      </c>
      <c r="G157" s="16">
        <v>1240</v>
      </c>
      <c r="H157" t="s" s="8">
        <v>6</v>
      </c>
      <c r="I157" s="16">
        <v>1240</v>
      </c>
      <c r="J157" t="s" s="8">
        <v>6</v>
      </c>
      <c r="K157" s="16">
        <v>1240</v>
      </c>
      <c r="L157" t="s" s="8">
        <v>6</v>
      </c>
      <c r="M157" s="18"/>
      <c r="N157" t="s" s="8">
        <v>6</v>
      </c>
      <c r="O157" s="18"/>
      <c r="P157" t="s" s="8">
        <v>6</v>
      </c>
      <c r="Q157" s="18"/>
      <c r="R157" s="13"/>
      <c r="S157" s="70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3.75" customHeight="1">
      <c r="A158" s="255"/>
      <c r="B158" t="s" s="228">
        <v>68</v>
      </c>
      <c r="C158" t="s" s="8">
        <v>7</v>
      </c>
      <c r="D158" s="26">
        <v>1000</v>
      </c>
      <c r="E158" s="9"/>
      <c r="F158" t="s" s="8">
        <v>8</v>
      </c>
      <c r="G158" s="26">
        <v>650</v>
      </c>
      <c r="H158" t="s" s="8">
        <v>8</v>
      </c>
      <c r="I158" s="26">
        <v>650</v>
      </c>
      <c r="J158" t="s" s="8">
        <v>8</v>
      </c>
      <c r="K158" s="26">
        <v>650</v>
      </c>
      <c r="L158" t="s" s="8">
        <v>8</v>
      </c>
      <c r="M158" s="27"/>
      <c r="N158" t="s" s="8">
        <v>8</v>
      </c>
      <c r="O158" s="27"/>
      <c r="P158" t="s" s="8">
        <v>8</v>
      </c>
      <c r="Q158" s="27"/>
      <c r="R158" s="308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7"/>
      <c r="AE158" s="7"/>
      <c r="AF158" s="7"/>
    </row>
    <row r="159" ht="13.75" customHeight="1">
      <c r="A159" s="255"/>
      <c r="B159" t="s" s="87">
        <v>69</v>
      </c>
      <c r="C159" t="s" s="8">
        <v>9</v>
      </c>
      <c r="D159" s="26">
        <v>1000</v>
      </c>
      <c r="E159" s="9"/>
      <c r="F159" t="s" s="8">
        <v>10</v>
      </c>
      <c r="G159" t="s" s="33">
        <v>154</v>
      </c>
      <c r="H159" t="s" s="8">
        <v>10</v>
      </c>
      <c r="I159" t="s" s="33">
        <v>154</v>
      </c>
      <c r="J159" t="s" s="8">
        <v>10</v>
      </c>
      <c r="K159" t="s" s="33">
        <v>154</v>
      </c>
      <c r="L159" t="s" s="8">
        <v>10</v>
      </c>
      <c r="M159" s="34"/>
      <c r="N159" t="s" s="8">
        <v>10</v>
      </c>
      <c r="O159" s="34"/>
      <c r="P159" t="s" s="8">
        <v>10</v>
      </c>
      <c r="Q159" s="34"/>
      <c r="R159" s="308"/>
      <c r="S159" s="309"/>
      <c r="T159" s="309"/>
      <c r="U159" s="309"/>
      <c r="V159" s="309"/>
      <c r="W159" s="309"/>
      <c r="X159" s="309"/>
      <c r="Y159" s="309"/>
      <c r="Z159" s="309"/>
      <c r="AA159" s="309"/>
      <c r="AB159" s="309"/>
      <c r="AC159" s="309"/>
      <c r="AD159" s="7"/>
      <c r="AE159" s="7"/>
      <c r="AF159" s="7"/>
    </row>
    <row r="160" ht="13.75" customHeight="1">
      <c r="A160" s="255"/>
      <c r="B160" t="s" s="8">
        <v>648</v>
      </c>
      <c r="C160" s="9"/>
      <c r="D160" s="299"/>
      <c r="E160" t="s" s="8">
        <v>14</v>
      </c>
      <c r="F160" t="s" s="8">
        <v>6</v>
      </c>
      <c r="G160" s="18"/>
      <c r="H160" t="s" s="8">
        <v>6</v>
      </c>
      <c r="I160" s="16">
        <v>2135</v>
      </c>
      <c r="J160" t="s" s="8">
        <v>6</v>
      </c>
      <c r="K160" s="253"/>
      <c r="L160" t="s" s="8">
        <v>6</v>
      </c>
      <c r="M160" s="18"/>
      <c r="N160" t="s" s="8">
        <v>6</v>
      </c>
      <c r="O160" s="18"/>
      <c r="P160" t="s" s="8">
        <v>6</v>
      </c>
      <c r="Q160" s="18"/>
      <c r="R160" s="308"/>
      <c r="S160" s="309"/>
      <c r="T160" s="309"/>
      <c r="U160" s="309"/>
      <c r="V160" s="309"/>
      <c r="W160" s="309"/>
      <c r="X160" s="309"/>
      <c r="Y160" s="309"/>
      <c r="Z160" s="309"/>
      <c r="AA160" s="309"/>
      <c r="AB160" s="309"/>
      <c r="AC160" s="309"/>
      <c r="AD160" s="7"/>
      <c r="AE160" s="7"/>
      <c r="AF160" s="7"/>
    </row>
    <row r="161" ht="13.55" customHeight="1">
      <c r="A161" s="255"/>
      <c r="B161" t="s" s="8">
        <v>649</v>
      </c>
      <c r="C161" s="9"/>
      <c r="D161" s="23"/>
      <c r="E161" s="9"/>
      <c r="F161" t="s" s="8">
        <v>8</v>
      </c>
      <c r="G161" s="27"/>
      <c r="H161" t="s" s="8">
        <v>8</v>
      </c>
      <c r="I161" s="26">
        <v>1000</v>
      </c>
      <c r="J161" t="s" s="8">
        <v>8</v>
      </c>
      <c r="K161" s="253"/>
      <c r="L161" t="s" s="8">
        <v>8</v>
      </c>
      <c r="M161" s="27"/>
      <c r="N161" t="s" s="8">
        <v>8</v>
      </c>
      <c r="O161" s="27"/>
      <c r="P161" t="s" s="8">
        <v>8</v>
      </c>
      <c r="Q161" s="27"/>
      <c r="R161" s="308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  <c r="AC161" s="309"/>
      <c r="AD161" s="7"/>
      <c r="AE161" s="7"/>
      <c r="AF161" s="7"/>
    </row>
    <row r="162" ht="13.55" customHeight="1">
      <c r="A162" s="255"/>
      <c r="B162" s="326"/>
      <c r="C162" s="303"/>
      <c r="D162" s="327"/>
      <c r="E162" s="9"/>
      <c r="F162" t="s" s="8">
        <v>10</v>
      </c>
      <c r="G162" s="34"/>
      <c r="H162" t="s" s="8">
        <v>10</v>
      </c>
      <c r="I162" t="s" s="33">
        <v>154</v>
      </c>
      <c r="J162" t="s" s="8">
        <v>10</v>
      </c>
      <c r="K162" s="253"/>
      <c r="L162" t="s" s="8">
        <v>10</v>
      </c>
      <c r="M162" s="34"/>
      <c r="N162" t="s" s="8">
        <v>10</v>
      </c>
      <c r="O162" s="34"/>
      <c r="P162" t="s" s="8">
        <v>10</v>
      </c>
      <c r="Q162" s="34"/>
      <c r="R162" s="308"/>
      <c r="S162" s="309"/>
      <c r="T162" s="309"/>
      <c r="U162" s="309"/>
      <c r="V162" s="309"/>
      <c r="W162" s="309"/>
      <c r="X162" s="309"/>
      <c r="Y162" s="309"/>
      <c r="Z162" s="309"/>
      <c r="AA162" s="309"/>
      <c r="AB162" s="309"/>
      <c r="AC162" s="309"/>
      <c r="AD162" s="7"/>
      <c r="AE162" s="7"/>
      <c r="AF162" s="7"/>
    </row>
    <row r="163" ht="13.55" customHeight="1">
      <c r="A163" s="112"/>
      <c r="B163" s="113"/>
      <c r="C163" s="65"/>
      <c r="D163" s="65"/>
      <c r="E163" s="304"/>
      <c r="F163" s="304"/>
      <c r="G163" s="303"/>
      <c r="H163" s="304"/>
      <c r="I163" s="337"/>
      <c r="J163" s="304"/>
      <c r="K163" s="303"/>
      <c r="L163" s="304"/>
      <c r="M163" s="337"/>
      <c r="N163" s="304"/>
      <c r="O163" s="337"/>
      <c r="P163" s="304"/>
      <c r="Q163" s="337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  <c r="AB163" s="309"/>
      <c r="AC163" s="309"/>
      <c r="AD163" s="7"/>
      <c r="AE163" s="7"/>
      <c r="AF163" s="7"/>
    </row>
    <row r="164" ht="13.75" customHeight="1">
      <c r="A164" s="254">
        <v>24</v>
      </c>
      <c r="B164" t="s" s="130">
        <v>651</v>
      </c>
      <c r="C164" s="9"/>
      <c r="D164" s="299"/>
      <c r="E164" t="s" s="8">
        <v>5</v>
      </c>
      <c r="F164" t="s" s="8">
        <v>6</v>
      </c>
      <c r="G164" s="16">
        <v>3158</v>
      </c>
      <c r="H164" t="s" s="8">
        <v>6</v>
      </c>
      <c r="I164" s="16">
        <v>3158</v>
      </c>
      <c r="J164" t="s" s="8">
        <v>6</v>
      </c>
      <c r="K164" s="18"/>
      <c r="L164" t="s" s="8">
        <v>6</v>
      </c>
      <c r="M164" s="18"/>
      <c r="N164" t="s" s="8">
        <v>6</v>
      </c>
      <c r="O164" s="18"/>
      <c r="P164" t="s" s="8">
        <v>6</v>
      </c>
      <c r="Q164" s="18"/>
      <c r="R164" s="13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3.75" customHeight="1">
      <c r="A165" s="255"/>
      <c r="B165" t="s" s="228">
        <v>68</v>
      </c>
      <c r="C165" t="s" s="8">
        <v>7</v>
      </c>
      <c r="D165" s="26">
        <v>1000</v>
      </c>
      <c r="E165" s="9"/>
      <c r="F165" t="s" s="8">
        <v>8</v>
      </c>
      <c r="G165" s="26">
        <v>1300</v>
      </c>
      <c r="H165" t="s" s="8">
        <v>8</v>
      </c>
      <c r="I165" s="26">
        <v>1300</v>
      </c>
      <c r="J165" t="s" s="8">
        <v>8</v>
      </c>
      <c r="K165" s="27"/>
      <c r="L165" t="s" s="8">
        <v>8</v>
      </c>
      <c r="M165" s="27"/>
      <c r="N165" t="s" s="8">
        <v>8</v>
      </c>
      <c r="O165" s="27"/>
      <c r="P165" t="s" s="8">
        <v>8</v>
      </c>
      <c r="Q165" s="27"/>
      <c r="R165" s="308"/>
      <c r="S165" s="309"/>
      <c r="T165" s="309"/>
      <c r="U165" s="309"/>
      <c r="V165" s="309"/>
      <c r="W165" s="309"/>
      <c r="X165" s="309"/>
      <c r="Y165" s="309"/>
      <c r="Z165" s="309"/>
      <c r="AA165" s="309"/>
      <c r="AB165" s="309"/>
      <c r="AC165" s="309"/>
      <c r="AD165" s="7"/>
      <c r="AE165" s="7"/>
      <c r="AF165" s="7"/>
    </row>
    <row r="166" ht="13.55" customHeight="1">
      <c r="A166" s="255"/>
      <c r="B166" s="27"/>
      <c r="C166" t="s" s="8">
        <v>9</v>
      </c>
      <c r="D166" s="26">
        <v>1000</v>
      </c>
      <c r="E166" s="9"/>
      <c r="F166" t="s" s="8">
        <v>10</v>
      </c>
      <c r="G166" t="s" s="33">
        <v>51</v>
      </c>
      <c r="H166" t="s" s="8">
        <v>10</v>
      </c>
      <c r="I166" t="s" s="33">
        <v>51</v>
      </c>
      <c r="J166" t="s" s="8">
        <v>10</v>
      </c>
      <c r="K166" s="34"/>
      <c r="L166" t="s" s="8">
        <v>10</v>
      </c>
      <c r="M166" s="34"/>
      <c r="N166" t="s" s="8">
        <v>10</v>
      </c>
      <c r="O166" s="34"/>
      <c r="P166" t="s" s="8">
        <v>10</v>
      </c>
      <c r="Q166" s="34"/>
      <c r="R166" s="308"/>
      <c r="S166" s="309"/>
      <c r="T166" s="309"/>
      <c r="U166" s="309"/>
      <c r="V166" s="309"/>
      <c r="W166" s="309"/>
      <c r="X166" s="309"/>
      <c r="Y166" s="309"/>
      <c r="Z166" s="309"/>
      <c r="AA166" s="309"/>
      <c r="AB166" s="309"/>
      <c r="AC166" s="309"/>
      <c r="AD166" s="7"/>
      <c r="AE166" s="7"/>
      <c r="AF166" s="7"/>
    </row>
    <row r="167" ht="13.75" customHeight="1">
      <c r="A167" s="255"/>
      <c r="B167" t="s" s="8">
        <v>652</v>
      </c>
      <c r="C167" s="9"/>
      <c r="D167" s="299"/>
      <c r="E167" t="s" s="8">
        <v>14</v>
      </c>
      <c r="F167" t="s" s="8">
        <v>6</v>
      </c>
      <c r="G167" s="18"/>
      <c r="H167" t="s" s="8">
        <v>6</v>
      </c>
      <c r="I167" s="16">
        <v>2146</v>
      </c>
      <c r="J167" t="s" s="8">
        <v>6</v>
      </c>
      <c r="K167" s="253"/>
      <c r="L167" t="s" s="8">
        <v>6</v>
      </c>
      <c r="M167" s="18"/>
      <c r="N167" t="s" s="8">
        <v>6</v>
      </c>
      <c r="O167" s="18"/>
      <c r="P167" t="s" s="8">
        <v>6</v>
      </c>
      <c r="Q167" s="18"/>
      <c r="R167" s="308"/>
      <c r="S167" s="309"/>
      <c r="T167" s="309"/>
      <c r="U167" s="309"/>
      <c r="V167" s="309"/>
      <c r="W167" s="309"/>
      <c r="X167" s="309"/>
      <c r="Y167" s="309"/>
      <c r="Z167" s="309"/>
      <c r="AA167" s="309"/>
      <c r="AB167" s="309"/>
      <c r="AC167" s="309"/>
      <c r="AD167" s="7"/>
      <c r="AE167" s="7"/>
      <c r="AF167" s="7"/>
    </row>
    <row r="168" ht="13.55" customHeight="1">
      <c r="A168" s="255"/>
      <c r="B168" t="s" s="8">
        <v>653</v>
      </c>
      <c r="C168" s="9"/>
      <c r="D168" s="23"/>
      <c r="E168" s="9"/>
      <c r="F168" t="s" s="8">
        <v>8</v>
      </c>
      <c r="G168" s="27"/>
      <c r="H168" t="s" s="8">
        <v>8</v>
      </c>
      <c r="I168" s="26">
        <v>600</v>
      </c>
      <c r="J168" t="s" s="8">
        <v>8</v>
      </c>
      <c r="K168" s="253"/>
      <c r="L168" t="s" s="8">
        <v>8</v>
      </c>
      <c r="M168" s="27"/>
      <c r="N168" t="s" s="8">
        <v>8</v>
      </c>
      <c r="O168" s="27"/>
      <c r="P168" t="s" s="8">
        <v>8</v>
      </c>
      <c r="Q168" s="27"/>
      <c r="R168" s="308"/>
      <c r="S168" s="309"/>
      <c r="T168" s="309"/>
      <c r="U168" s="309"/>
      <c r="V168" s="309"/>
      <c r="W168" s="309"/>
      <c r="X168" s="309"/>
      <c r="Y168" s="309"/>
      <c r="Z168" s="309"/>
      <c r="AA168" s="309"/>
      <c r="AB168" s="309"/>
      <c r="AC168" s="309"/>
      <c r="AD168" s="7"/>
      <c r="AE168" s="7"/>
      <c r="AF168" s="7"/>
    </row>
    <row r="169" ht="13.55" customHeight="1">
      <c r="A169" s="255"/>
      <c r="B169" s="326"/>
      <c r="C169" s="303"/>
      <c r="D169" s="327"/>
      <c r="E169" s="9"/>
      <c r="F169" t="s" s="8">
        <v>10</v>
      </c>
      <c r="G169" s="34"/>
      <c r="H169" t="s" s="8">
        <v>10</v>
      </c>
      <c r="I169" t="s" s="33">
        <v>51</v>
      </c>
      <c r="J169" t="s" s="8">
        <v>10</v>
      </c>
      <c r="K169" s="253"/>
      <c r="L169" t="s" s="8">
        <v>10</v>
      </c>
      <c r="M169" s="34"/>
      <c r="N169" t="s" s="8">
        <v>10</v>
      </c>
      <c r="O169" s="34"/>
      <c r="P169" t="s" s="8">
        <v>10</v>
      </c>
      <c r="Q169" s="34"/>
      <c r="R169" s="308"/>
      <c r="S169" s="309"/>
      <c r="T169" s="309"/>
      <c r="U169" s="309"/>
      <c r="V169" s="309"/>
      <c r="W169" s="309"/>
      <c r="X169" s="309"/>
      <c r="Y169" s="309"/>
      <c r="Z169" s="309"/>
      <c r="AA169" s="309"/>
      <c r="AB169" s="309"/>
      <c r="AC169" s="309"/>
      <c r="AD169" s="7"/>
      <c r="AE169" s="7"/>
      <c r="AF169" s="7"/>
    </row>
    <row r="170" ht="13.55" customHeight="1">
      <c r="A170" s="112"/>
      <c r="B170" s="113"/>
      <c r="C170" s="65"/>
      <c r="D170" s="65"/>
      <c r="E170" s="304"/>
      <c r="F170" s="304"/>
      <c r="G170" s="303"/>
      <c r="H170" s="304"/>
      <c r="I170" s="337"/>
      <c r="J170" s="304"/>
      <c r="K170" s="303"/>
      <c r="L170" s="304"/>
      <c r="M170" s="337"/>
      <c r="N170" s="304"/>
      <c r="O170" s="337"/>
      <c r="P170" s="304"/>
      <c r="Q170" s="337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  <c r="AB170" s="309"/>
      <c r="AC170" s="309"/>
      <c r="AD170" s="7"/>
      <c r="AE170" s="7"/>
      <c r="AF170" s="7"/>
    </row>
    <row r="171" ht="13.75" customHeight="1">
      <c r="A171" s="254">
        <v>25</v>
      </c>
      <c r="B171" t="s" s="130">
        <v>654</v>
      </c>
      <c r="C171" s="9"/>
      <c r="D171" s="299"/>
      <c r="E171" t="s" s="8">
        <v>5</v>
      </c>
      <c r="F171" t="s" s="8">
        <v>6</v>
      </c>
      <c r="G171" s="16">
        <v>1209</v>
      </c>
      <c r="H171" t="s" s="8">
        <v>6</v>
      </c>
      <c r="I171" s="18"/>
      <c r="J171" t="s" s="8">
        <v>6</v>
      </c>
      <c r="K171" s="18"/>
      <c r="L171" t="s" s="8">
        <v>6</v>
      </c>
      <c r="M171" s="18"/>
      <c r="N171" t="s" s="8">
        <v>6</v>
      </c>
      <c r="O171" s="18"/>
      <c r="P171" t="s" s="8">
        <v>6</v>
      </c>
      <c r="Q171" s="18"/>
      <c r="R171" s="13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3.55" customHeight="1">
      <c r="A172" s="255"/>
      <c r="B172" s="27"/>
      <c r="C172" s="9"/>
      <c r="D172" s="27"/>
      <c r="E172" s="9"/>
      <c r="F172" t="s" s="8">
        <v>8</v>
      </c>
      <c r="G172" s="26">
        <v>1300</v>
      </c>
      <c r="H172" t="s" s="8">
        <v>8</v>
      </c>
      <c r="I172" s="27"/>
      <c r="J172" t="s" s="8">
        <v>8</v>
      </c>
      <c r="K172" s="27"/>
      <c r="L172" t="s" s="8">
        <v>8</v>
      </c>
      <c r="M172" s="27"/>
      <c r="N172" t="s" s="8">
        <v>8</v>
      </c>
      <c r="O172" s="27"/>
      <c r="P172" t="s" s="8">
        <v>8</v>
      </c>
      <c r="Q172" s="27"/>
      <c r="R172" s="308"/>
      <c r="S172" s="309"/>
      <c r="T172" s="309"/>
      <c r="U172" s="309"/>
      <c r="V172" s="309"/>
      <c r="W172" s="309"/>
      <c r="X172" s="309"/>
      <c r="Y172" s="309"/>
      <c r="Z172" s="309"/>
      <c r="AA172" s="309"/>
      <c r="AB172" s="309"/>
      <c r="AC172" s="309"/>
      <c r="AD172" s="7"/>
      <c r="AE172" s="7"/>
      <c r="AF172" s="7"/>
    </row>
    <row r="173" ht="13.55" customHeight="1">
      <c r="A173" s="255"/>
      <c r="B173" s="27"/>
      <c r="C173" t="s" s="8">
        <v>9</v>
      </c>
      <c r="D173" s="26">
        <v>1000</v>
      </c>
      <c r="E173" s="9"/>
      <c r="F173" t="s" s="8">
        <v>10</v>
      </c>
      <c r="G173" t="s" s="33">
        <v>370</v>
      </c>
      <c r="H173" t="s" s="8">
        <v>10</v>
      </c>
      <c r="I173" s="34"/>
      <c r="J173" t="s" s="8">
        <v>10</v>
      </c>
      <c r="K173" s="34"/>
      <c r="L173" t="s" s="8">
        <v>10</v>
      </c>
      <c r="M173" s="34"/>
      <c r="N173" t="s" s="8">
        <v>10</v>
      </c>
      <c r="O173" s="34"/>
      <c r="P173" t="s" s="8">
        <v>10</v>
      </c>
      <c r="Q173" s="34"/>
      <c r="R173" s="308"/>
      <c r="S173" s="309"/>
      <c r="T173" s="309"/>
      <c r="U173" s="309"/>
      <c r="V173" s="309"/>
      <c r="W173" s="309"/>
      <c r="X173" s="309"/>
      <c r="Y173" s="309"/>
      <c r="Z173" s="309"/>
      <c r="AA173" s="309"/>
      <c r="AB173" s="309"/>
      <c r="AC173" s="309"/>
      <c r="AD173" s="7"/>
      <c r="AE173" s="7"/>
      <c r="AF173" s="7"/>
    </row>
    <row r="174" ht="13.75" customHeight="1">
      <c r="A174" s="255"/>
      <c r="B174" t="s" s="8">
        <v>655</v>
      </c>
      <c r="C174" s="9"/>
      <c r="D174" s="299"/>
      <c r="E174" t="s" s="8">
        <v>14</v>
      </c>
      <c r="F174" t="s" s="8">
        <v>6</v>
      </c>
      <c r="G174" s="16">
        <v>2116</v>
      </c>
      <c r="H174" t="s" s="8">
        <v>6</v>
      </c>
      <c r="I174" s="9"/>
      <c r="J174" t="s" s="8">
        <v>6</v>
      </c>
      <c r="K174" s="253"/>
      <c r="L174" t="s" s="8">
        <v>6</v>
      </c>
      <c r="M174" s="18"/>
      <c r="N174" t="s" s="8">
        <v>6</v>
      </c>
      <c r="O174" s="18"/>
      <c r="P174" t="s" s="8">
        <v>6</v>
      </c>
      <c r="Q174" s="18"/>
      <c r="R174" s="308"/>
      <c r="S174" s="309"/>
      <c r="T174" s="309"/>
      <c r="U174" s="309"/>
      <c r="V174" s="309"/>
      <c r="W174" s="309"/>
      <c r="X174" s="309"/>
      <c r="Y174" s="309"/>
      <c r="Z174" s="309"/>
      <c r="AA174" s="309"/>
      <c r="AB174" s="309"/>
      <c r="AC174" s="309"/>
      <c r="AD174" s="7"/>
      <c r="AE174" s="7"/>
      <c r="AF174" s="7"/>
    </row>
    <row r="175" ht="13.55" customHeight="1">
      <c r="A175" s="255"/>
      <c r="B175" t="s" s="8">
        <v>656</v>
      </c>
      <c r="C175" s="9"/>
      <c r="D175" s="23"/>
      <c r="E175" s="9"/>
      <c r="F175" t="s" s="8">
        <v>8</v>
      </c>
      <c r="G175" s="26">
        <v>1000</v>
      </c>
      <c r="H175" t="s" s="8">
        <v>8</v>
      </c>
      <c r="I175" s="42"/>
      <c r="J175" t="s" s="8">
        <v>8</v>
      </c>
      <c r="K175" s="253"/>
      <c r="L175" t="s" s="8">
        <v>8</v>
      </c>
      <c r="M175" s="27"/>
      <c r="N175" t="s" s="8">
        <v>8</v>
      </c>
      <c r="O175" s="27"/>
      <c r="P175" t="s" s="8">
        <v>8</v>
      </c>
      <c r="Q175" s="27"/>
      <c r="R175" s="308"/>
      <c r="S175" s="309"/>
      <c r="T175" s="309"/>
      <c r="U175" s="309"/>
      <c r="V175" s="309"/>
      <c r="W175" s="309"/>
      <c r="X175" s="309"/>
      <c r="Y175" s="309"/>
      <c r="Z175" s="309"/>
      <c r="AA175" s="309"/>
      <c r="AB175" s="309"/>
      <c r="AC175" s="309"/>
      <c r="AD175" s="7"/>
      <c r="AE175" s="7"/>
      <c r="AF175" s="7"/>
    </row>
    <row r="176" ht="13.55" customHeight="1">
      <c r="A176" s="255"/>
      <c r="B176" s="326"/>
      <c r="C176" s="303"/>
      <c r="D176" s="327"/>
      <c r="E176" s="9"/>
      <c r="F176" t="s" s="8">
        <v>10</v>
      </c>
      <c r="G176" t="s" s="33">
        <v>370</v>
      </c>
      <c r="H176" t="s" s="8">
        <v>10</v>
      </c>
      <c r="I176" s="9"/>
      <c r="J176" t="s" s="8">
        <v>10</v>
      </c>
      <c r="K176" s="253"/>
      <c r="L176" t="s" s="8">
        <v>10</v>
      </c>
      <c r="M176" s="34"/>
      <c r="N176" t="s" s="8">
        <v>10</v>
      </c>
      <c r="O176" s="34"/>
      <c r="P176" t="s" s="8">
        <v>10</v>
      </c>
      <c r="Q176" s="34"/>
      <c r="R176" s="308"/>
      <c r="S176" s="309"/>
      <c r="T176" s="309"/>
      <c r="U176" s="309"/>
      <c r="V176" s="309"/>
      <c r="W176" s="309"/>
      <c r="X176" s="309"/>
      <c r="Y176" s="309"/>
      <c r="Z176" s="309"/>
      <c r="AA176" s="309"/>
      <c r="AB176" s="309"/>
      <c r="AC176" s="309"/>
      <c r="AD176" s="7"/>
      <c r="AE176" s="7"/>
      <c r="AF176" s="7"/>
    </row>
    <row r="177" ht="13.55" customHeight="1">
      <c r="A177" s="311"/>
      <c r="B177" s="312"/>
      <c r="C177" s="70"/>
      <c r="D177" s="70"/>
      <c r="E177" s="307"/>
      <c r="F177" s="307"/>
      <c r="G177" s="313"/>
      <c r="H177" s="307"/>
      <c r="I177" s="340"/>
      <c r="J177" s="307"/>
      <c r="K177" s="313"/>
      <c r="L177" s="307"/>
      <c r="M177" s="340"/>
      <c r="N177" s="307"/>
      <c r="O177" s="340"/>
      <c r="P177" s="307"/>
      <c r="Q177" s="340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  <c r="AB177" s="309"/>
      <c r="AC177" s="309"/>
      <c r="AD177" s="7"/>
      <c r="AE177" s="7"/>
      <c r="AF177" s="7"/>
    </row>
    <row r="178" ht="13.55" customHeight="1">
      <c r="A178" s="314"/>
      <c r="B178" s="315"/>
      <c r="C178" s="7"/>
      <c r="D178" s="7"/>
      <c r="E178" s="309"/>
      <c r="F178" s="309"/>
      <c r="G178" s="316"/>
      <c r="H178" s="309"/>
      <c r="I178" s="317"/>
      <c r="J178" s="309"/>
      <c r="K178" s="316"/>
      <c r="L178" s="309"/>
      <c r="M178" s="317"/>
      <c r="N178" s="309"/>
      <c r="O178" s="317"/>
      <c r="P178" s="309"/>
      <c r="Q178" s="317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  <c r="AB178" s="309"/>
      <c r="AC178" s="309"/>
      <c r="AD178" s="7"/>
      <c r="AE178" s="7"/>
      <c r="AF178" s="7"/>
    </row>
    <row r="179" ht="13.55" customHeight="1">
      <c r="A179" s="314"/>
      <c r="B179" s="315"/>
      <c r="C179" s="7"/>
      <c r="D179" s="7"/>
      <c r="E179" s="30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3.55" customHeight="1">
      <c r="A180" s="314"/>
      <c r="B180" s="315"/>
      <c r="C180" s="7"/>
      <c r="D180" s="7"/>
      <c r="E180" s="309"/>
      <c r="F180" s="309"/>
      <c r="G180" s="7"/>
      <c r="H180" s="309"/>
      <c r="I180" s="7"/>
      <c r="J180" s="309"/>
      <c r="K180" s="7"/>
      <c r="L180" s="309"/>
      <c r="M180" s="7"/>
      <c r="N180" s="309"/>
      <c r="O180" s="7"/>
      <c r="P180" s="309"/>
      <c r="Q180" s="7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7"/>
      <c r="AE180" s="7"/>
      <c r="AF180" s="7"/>
    </row>
    <row r="181" ht="13.55" customHeight="1">
      <c r="A181" s="314"/>
      <c r="B181" s="315"/>
      <c r="C181" s="7"/>
      <c r="D181" s="7"/>
      <c r="E181" s="7"/>
      <c r="F181" s="309"/>
      <c r="G181" s="316"/>
      <c r="H181" s="309"/>
      <c r="I181" s="316"/>
      <c r="J181" s="309"/>
      <c r="K181" s="316"/>
      <c r="L181" s="309"/>
      <c r="M181" s="316"/>
      <c r="N181" s="309"/>
      <c r="O181" s="316"/>
      <c r="P181" s="309"/>
      <c r="Q181" s="316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  <c r="AB181" s="309"/>
      <c r="AC181" s="309"/>
      <c r="AD181" s="7"/>
      <c r="AE181" s="7"/>
      <c r="AF181" s="7"/>
    </row>
    <row r="182" ht="13.55" customHeight="1">
      <c r="A182" s="314"/>
      <c r="B182" s="315"/>
      <c r="C182" s="7"/>
      <c r="D182" s="7"/>
      <c r="E182" s="309"/>
      <c r="F182" s="309"/>
      <c r="G182" s="317"/>
      <c r="H182" s="309"/>
      <c r="I182" s="317"/>
      <c r="J182" s="309"/>
      <c r="K182" s="316"/>
      <c r="L182" s="309"/>
      <c r="M182" s="317"/>
      <c r="N182" s="309"/>
      <c r="O182" s="317"/>
      <c r="P182" s="309"/>
      <c r="Q182" s="318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  <c r="AB182" s="309"/>
      <c r="AC182" s="309"/>
      <c r="AD182" s="7"/>
      <c r="AE182" s="7"/>
      <c r="AF182" s="7"/>
    </row>
    <row r="183" ht="13.55" customHeight="1">
      <c r="A183" s="314"/>
      <c r="B183" s="315"/>
      <c r="C183" s="7"/>
      <c r="D183" s="7"/>
      <c r="E183" s="309"/>
      <c r="F183" s="309"/>
      <c r="G183" s="316"/>
      <c r="H183" s="309"/>
      <c r="I183" s="7"/>
      <c r="J183" s="309"/>
      <c r="K183" s="316"/>
      <c r="L183" s="309"/>
      <c r="M183" s="7"/>
      <c r="N183" s="309"/>
      <c r="O183" s="7"/>
      <c r="P183" s="309"/>
      <c r="Q183" s="7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  <c r="AB183" s="309"/>
      <c r="AC183" s="309"/>
      <c r="AD183" s="7"/>
      <c r="AE183" s="7"/>
      <c r="AF183" s="7"/>
    </row>
    <row r="184" ht="13.55" customHeight="1">
      <c r="A184" s="314"/>
      <c r="B184" s="315"/>
      <c r="C184" s="7"/>
      <c r="D184" s="7"/>
      <c r="E184" s="309"/>
      <c r="F184" s="309"/>
      <c r="G184" s="316"/>
      <c r="H184" s="309"/>
      <c r="I184" s="316"/>
      <c r="J184" s="309"/>
      <c r="K184" s="316"/>
      <c r="L184" s="309"/>
      <c r="M184" s="316"/>
      <c r="N184" s="309"/>
      <c r="O184" s="316"/>
      <c r="P184" s="309"/>
      <c r="Q184" s="316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7"/>
      <c r="AE184" s="7"/>
      <c r="AF184" s="7"/>
    </row>
    <row r="185" ht="13.55" customHeight="1">
      <c r="A185" s="314"/>
      <c r="B185" s="315"/>
      <c r="C185" s="7"/>
      <c r="D185" s="7"/>
      <c r="E185" s="309"/>
      <c r="F185" s="309"/>
      <c r="G185" s="316"/>
      <c r="H185" s="309"/>
      <c r="I185" s="317"/>
      <c r="J185" s="309"/>
      <c r="K185" s="316"/>
      <c r="L185" s="309"/>
      <c r="M185" s="317"/>
      <c r="N185" s="309"/>
      <c r="O185" s="317"/>
      <c r="P185" s="309"/>
      <c r="Q185" s="317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  <c r="AB185" s="309"/>
      <c r="AC185" s="309"/>
      <c r="AD185" s="7"/>
      <c r="AE185" s="7"/>
      <c r="AF185" s="7"/>
    </row>
    <row r="186" ht="13.55" customHeight="1">
      <c r="A186" s="314"/>
      <c r="B186" s="315"/>
      <c r="C186" s="7"/>
      <c r="D186" s="7"/>
      <c r="E186" s="30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3.55" customHeight="1">
      <c r="A187" s="314"/>
      <c r="B187" s="315"/>
      <c r="C187" s="7"/>
      <c r="D187" s="7"/>
      <c r="E187" s="309"/>
      <c r="F187" s="309"/>
      <c r="G187" s="7"/>
      <c r="H187" s="309"/>
      <c r="I187" s="7"/>
      <c r="J187" s="309"/>
      <c r="K187" s="7"/>
      <c r="L187" s="309"/>
      <c r="M187" s="7"/>
      <c r="N187" s="309"/>
      <c r="O187" s="7"/>
      <c r="P187" s="309"/>
      <c r="Q187" s="7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  <c r="AC187" s="309"/>
      <c r="AD187" s="7"/>
      <c r="AE187" s="7"/>
      <c r="AF187" s="7"/>
    </row>
    <row r="188" ht="13.55" customHeight="1">
      <c r="A188" s="314"/>
      <c r="B188" s="315"/>
      <c r="C188" s="7"/>
      <c r="D188" s="7"/>
      <c r="E188" s="7"/>
      <c r="F188" s="309"/>
      <c r="G188" s="316"/>
      <c r="H188" s="309"/>
      <c r="I188" s="316"/>
      <c r="J188" s="309"/>
      <c r="K188" s="316"/>
      <c r="L188" s="309"/>
      <c r="M188" s="316"/>
      <c r="N188" s="309"/>
      <c r="O188" s="316"/>
      <c r="P188" s="309"/>
      <c r="Q188" s="316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  <c r="AB188" s="309"/>
      <c r="AC188" s="309"/>
      <c r="AD188" s="7"/>
      <c r="AE188" s="7"/>
      <c r="AF188" s="7"/>
    </row>
    <row r="189" ht="13.55" customHeight="1">
      <c r="A189" s="314"/>
      <c r="B189" s="315"/>
      <c r="C189" s="7"/>
      <c r="D189" s="7"/>
      <c r="E189" s="309"/>
      <c r="F189" s="309"/>
      <c r="G189" s="317"/>
      <c r="H189" s="309"/>
      <c r="I189" s="317"/>
      <c r="J189" s="309"/>
      <c r="K189" s="316"/>
      <c r="L189" s="309"/>
      <c r="M189" s="317"/>
      <c r="N189" s="309"/>
      <c r="O189" s="317"/>
      <c r="P189" s="309"/>
      <c r="Q189" s="318"/>
      <c r="R189" s="309"/>
      <c r="S189" s="309"/>
      <c r="T189" s="309"/>
      <c r="U189" s="309"/>
      <c r="V189" s="309"/>
      <c r="W189" s="309"/>
      <c r="X189" s="309"/>
      <c r="Y189" s="309"/>
      <c r="Z189" s="309"/>
      <c r="AA189" s="309"/>
      <c r="AB189" s="309"/>
      <c r="AC189" s="309"/>
      <c r="AD189" s="7"/>
      <c r="AE189" s="7"/>
      <c r="AF189" s="7"/>
    </row>
    <row r="190" ht="13.55" customHeight="1">
      <c r="A190" s="314"/>
      <c r="B190" s="315"/>
      <c r="C190" s="7"/>
      <c r="D190" s="7"/>
      <c r="E190" s="309"/>
      <c r="F190" s="309"/>
      <c r="G190" s="316"/>
      <c r="H190" s="309"/>
      <c r="I190" s="7"/>
      <c r="J190" s="309"/>
      <c r="K190" s="316"/>
      <c r="L190" s="309"/>
      <c r="M190" s="7"/>
      <c r="N190" s="309"/>
      <c r="O190" s="7"/>
      <c r="P190" s="309"/>
      <c r="Q190" s="7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  <c r="AC190" s="309"/>
      <c r="AD190" s="7"/>
      <c r="AE190" s="7"/>
      <c r="AF190" s="7"/>
    </row>
    <row r="191" ht="13.55" customHeight="1">
      <c r="A191" s="314"/>
      <c r="B191" s="315"/>
      <c r="C191" s="7"/>
      <c r="D191" s="7"/>
      <c r="E191" s="309"/>
      <c r="F191" s="309"/>
      <c r="G191" s="316"/>
      <c r="H191" s="309"/>
      <c r="I191" s="316"/>
      <c r="J191" s="309"/>
      <c r="K191" s="316"/>
      <c r="L191" s="309"/>
      <c r="M191" s="316"/>
      <c r="N191" s="309"/>
      <c r="O191" s="316"/>
      <c r="P191" s="309"/>
      <c r="Q191" s="316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  <c r="AC191" s="309"/>
      <c r="AD191" s="7"/>
      <c r="AE191" s="7"/>
      <c r="AF191" s="7"/>
    </row>
    <row r="192" ht="13.55" customHeight="1">
      <c r="A192" s="314"/>
      <c r="B192" s="315"/>
      <c r="C192" s="7"/>
      <c r="D192" s="7"/>
      <c r="E192" s="309"/>
      <c r="F192" s="309"/>
      <c r="G192" s="316"/>
      <c r="H192" s="309"/>
      <c r="I192" s="317"/>
      <c r="J192" s="309"/>
      <c r="K192" s="316"/>
      <c r="L192" s="309"/>
      <c r="M192" s="317"/>
      <c r="N192" s="309"/>
      <c r="O192" s="317"/>
      <c r="P192" s="309"/>
      <c r="Q192" s="317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  <c r="AC192" s="309"/>
      <c r="AD192" s="7"/>
      <c r="AE192" s="7"/>
      <c r="AF192" s="7"/>
    </row>
    <row r="193" ht="13.55" customHeight="1">
      <c r="A193" s="314"/>
      <c r="B193" s="315"/>
      <c r="C193" s="7"/>
      <c r="D193" s="7"/>
      <c r="E193" s="30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3.55" customHeight="1">
      <c r="A194" s="314"/>
      <c r="B194" s="315"/>
      <c r="C194" s="7"/>
      <c r="D194" s="7"/>
      <c r="E194" s="309"/>
      <c r="F194" s="309"/>
      <c r="G194" s="7"/>
      <c r="H194" s="309"/>
      <c r="I194" s="7"/>
      <c r="J194" s="309"/>
      <c r="K194" s="7"/>
      <c r="L194" s="309"/>
      <c r="M194" s="7"/>
      <c r="N194" s="309"/>
      <c r="O194" s="7"/>
      <c r="P194" s="309"/>
      <c r="Q194" s="7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  <c r="AC194" s="309"/>
      <c r="AD194" s="7"/>
      <c r="AE194" s="7"/>
      <c r="AF194" s="7"/>
    </row>
    <row r="195" ht="13.55" customHeight="1">
      <c r="A195" s="60"/>
      <c r="B195" s="7"/>
      <c r="C195" s="7"/>
      <c r="D195" s="7"/>
      <c r="E195" s="7"/>
      <c r="F195" s="309"/>
      <c r="G195" s="316"/>
      <c r="H195" s="309"/>
      <c r="I195" s="316"/>
      <c r="J195" s="309"/>
      <c r="K195" s="316"/>
      <c r="L195" s="309"/>
      <c r="M195" s="316"/>
      <c r="N195" s="309"/>
      <c r="O195" s="316"/>
      <c r="P195" s="309"/>
      <c r="Q195" s="316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7"/>
      <c r="AE195" s="7"/>
      <c r="AF195" s="7"/>
    </row>
    <row r="196" ht="13.55" customHeight="1">
      <c r="A196" s="7"/>
      <c r="B196" s="7"/>
      <c r="C196" s="7"/>
      <c r="D196" s="7"/>
      <c r="E196" s="309"/>
      <c r="F196" s="309"/>
      <c r="G196" s="317"/>
      <c r="H196" s="309"/>
      <c r="I196" s="317"/>
      <c r="J196" s="309"/>
      <c r="K196" s="316"/>
      <c r="L196" s="309"/>
      <c r="M196" s="317"/>
      <c r="N196" s="309"/>
      <c r="O196" s="317"/>
      <c r="P196" s="309"/>
      <c r="Q196" s="318"/>
      <c r="R196" s="309"/>
      <c r="S196" s="309"/>
      <c r="T196" s="309"/>
      <c r="U196" s="309"/>
      <c r="V196" s="309"/>
      <c r="W196" s="309"/>
      <c r="X196" s="309"/>
      <c r="Y196" s="309"/>
      <c r="Z196" s="309"/>
      <c r="AA196" s="309"/>
      <c r="AB196" s="309"/>
      <c r="AC196" s="309"/>
      <c r="AD196" s="7"/>
      <c r="AE196" s="7"/>
      <c r="AF196" s="7"/>
    </row>
    <row r="197" ht="13.55" customHeight="1">
      <c r="A197" s="7"/>
      <c r="B197" s="7"/>
      <c r="C197" s="7"/>
      <c r="D197" s="7"/>
      <c r="E197" s="309"/>
      <c r="F197" s="309"/>
      <c r="G197" s="316"/>
      <c r="H197" s="309"/>
      <c r="I197" s="7"/>
      <c r="J197" s="309"/>
      <c r="K197" s="316"/>
      <c r="L197" s="309"/>
      <c r="M197" s="7"/>
      <c r="N197" s="309"/>
      <c r="O197" s="7"/>
      <c r="P197" s="309"/>
      <c r="Q197" s="7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  <c r="AB197" s="309"/>
      <c r="AC197" s="309"/>
      <c r="AD197" s="7"/>
      <c r="AE197" s="7"/>
      <c r="AF197" s="7"/>
    </row>
    <row r="198" ht="13.55" customHeight="1">
      <c r="A198" s="7"/>
      <c r="B198" s="7"/>
      <c r="C198" s="7"/>
      <c r="D198" s="7"/>
      <c r="E198" s="309"/>
      <c r="F198" s="309"/>
      <c r="G198" s="316"/>
      <c r="H198" s="309"/>
      <c r="I198" s="316"/>
      <c r="J198" s="309"/>
      <c r="K198" s="316"/>
      <c r="L198" s="309"/>
      <c r="M198" s="316"/>
      <c r="N198" s="309"/>
      <c r="O198" s="316"/>
      <c r="P198" s="309"/>
      <c r="Q198" s="316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  <c r="AB198" s="309"/>
      <c r="AC198" s="309"/>
      <c r="AD198" s="7"/>
      <c r="AE198" s="7"/>
      <c r="AF198" s="7"/>
    </row>
    <row r="199" ht="13.55" customHeight="1">
      <c r="A199" s="7"/>
      <c r="B199" s="7"/>
      <c r="C199" s="7"/>
      <c r="D199" s="7"/>
      <c r="E199" s="309"/>
      <c r="F199" s="309"/>
      <c r="G199" s="316"/>
      <c r="H199" s="309"/>
      <c r="I199" s="317"/>
      <c r="J199" s="309"/>
      <c r="K199" s="316"/>
      <c r="L199" s="309"/>
      <c r="M199" s="317"/>
      <c r="N199" s="309"/>
      <c r="O199" s="317"/>
      <c r="P199" s="309"/>
      <c r="Q199" s="317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7"/>
      <c r="AE199" s="7"/>
      <c r="AF199" s="7"/>
    </row>
    <row r="200" ht="13.55" customHeight="1">
      <c r="A200" s="7"/>
      <c r="B200" s="7"/>
      <c r="C200" s="7"/>
      <c r="D200" s="7"/>
      <c r="E200" s="30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3.55" customHeight="1">
      <c r="A201" s="7"/>
      <c r="B201" s="7"/>
      <c r="C201" s="7"/>
      <c r="D201" s="7"/>
      <c r="E201" s="309"/>
      <c r="F201" s="309"/>
      <c r="G201" s="7"/>
      <c r="H201" s="309"/>
      <c r="I201" s="7"/>
      <c r="J201" s="309"/>
      <c r="K201" s="7"/>
      <c r="L201" s="309"/>
      <c r="M201" s="7"/>
      <c r="N201" s="309"/>
      <c r="O201" s="7"/>
      <c r="P201" s="309"/>
      <c r="Q201" s="7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7"/>
      <c r="AE201" s="7"/>
      <c r="AF201" s="7"/>
    </row>
    <row r="202" ht="13.55" customHeight="1">
      <c r="A202" s="7"/>
      <c r="B202" s="7"/>
      <c r="C202" s="7"/>
      <c r="D202" s="7"/>
      <c r="E202" s="7"/>
      <c r="F202" s="309"/>
      <c r="G202" s="316"/>
      <c r="H202" s="309"/>
      <c r="I202" s="316"/>
      <c r="J202" s="309"/>
      <c r="K202" s="316"/>
      <c r="L202" s="309"/>
      <c r="M202" s="316"/>
      <c r="N202" s="309"/>
      <c r="O202" s="316"/>
      <c r="P202" s="309"/>
      <c r="Q202" s="316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  <c r="AB202" s="309"/>
      <c r="AC202" s="309"/>
      <c r="AD202" s="7"/>
      <c r="AE202" s="7"/>
      <c r="AF202" s="7"/>
    </row>
    <row r="203" ht="13.55" customHeight="1">
      <c r="A203" s="7"/>
      <c r="B203" s="7"/>
      <c r="C203" s="7"/>
      <c r="D203" s="7"/>
      <c r="E203" s="309"/>
      <c r="F203" s="309"/>
      <c r="G203" s="317"/>
      <c r="H203" s="309"/>
      <c r="I203" s="317"/>
      <c r="J203" s="309"/>
      <c r="K203" s="316"/>
      <c r="L203" s="309"/>
      <c r="M203" s="317"/>
      <c r="N203" s="309"/>
      <c r="O203" s="317"/>
      <c r="P203" s="309"/>
      <c r="Q203" s="318"/>
      <c r="R203" s="309"/>
      <c r="S203" s="309"/>
      <c r="T203" s="309"/>
      <c r="U203" s="309"/>
      <c r="V203" s="309"/>
      <c r="W203" s="309"/>
      <c r="X203" s="309"/>
      <c r="Y203" s="309"/>
      <c r="Z203" s="309"/>
      <c r="AA203" s="309"/>
      <c r="AB203" s="309"/>
      <c r="AC203" s="309"/>
      <c r="AD203" s="7"/>
      <c r="AE203" s="7"/>
      <c r="AF203" s="7"/>
    </row>
    <row r="204" ht="13.55" customHeight="1">
      <c r="A204" s="7"/>
      <c r="B204" s="7"/>
      <c r="C204" s="7"/>
      <c r="D204" s="7"/>
      <c r="E204" s="309"/>
      <c r="F204" s="309"/>
      <c r="G204" s="316"/>
      <c r="H204" s="309"/>
      <c r="I204" s="7"/>
      <c r="J204" s="309"/>
      <c r="K204" s="316"/>
      <c r="L204" s="309"/>
      <c r="M204" s="7"/>
      <c r="N204" s="309"/>
      <c r="O204" s="7"/>
      <c r="P204" s="309"/>
      <c r="Q204" s="7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  <c r="AB204" s="309"/>
      <c r="AC204" s="309"/>
      <c r="AD204" s="7"/>
      <c r="AE204" s="7"/>
      <c r="AF204" s="7"/>
    </row>
    <row r="205" ht="13.55" customHeight="1">
      <c r="A205" s="7"/>
      <c r="B205" s="7"/>
      <c r="C205" s="7"/>
      <c r="D205" s="7"/>
      <c r="E205" s="309"/>
      <c r="F205" s="309"/>
      <c r="G205" s="316"/>
      <c r="H205" s="309"/>
      <c r="I205" s="316"/>
      <c r="J205" s="309"/>
      <c r="K205" s="316"/>
      <c r="L205" s="309"/>
      <c r="M205" s="316"/>
      <c r="N205" s="309"/>
      <c r="O205" s="316"/>
      <c r="P205" s="309"/>
      <c r="Q205" s="316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  <c r="AB205" s="309"/>
      <c r="AC205" s="309"/>
      <c r="AD205" s="7"/>
      <c r="AE205" s="7"/>
      <c r="AF205" s="7"/>
    </row>
    <row r="206" ht="13.55" customHeight="1">
      <c r="A206" s="7"/>
      <c r="B206" s="7"/>
      <c r="C206" s="7"/>
      <c r="D206" s="7"/>
      <c r="E206" s="309"/>
      <c r="F206" s="309"/>
      <c r="G206" s="316"/>
      <c r="H206" s="309"/>
      <c r="I206" s="317"/>
      <c r="J206" s="309"/>
      <c r="K206" s="316"/>
      <c r="L206" s="309"/>
      <c r="M206" s="317"/>
      <c r="N206" s="309"/>
      <c r="O206" s="317"/>
      <c r="P206" s="309"/>
      <c r="Q206" s="317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  <c r="AB206" s="309"/>
      <c r="AC206" s="309"/>
      <c r="AD206" s="7"/>
      <c r="AE206" s="7"/>
      <c r="AF206" s="7"/>
    </row>
    <row r="207" ht="13.55" customHeight="1">
      <c r="A207" s="7"/>
      <c r="B207" s="7"/>
      <c r="C207" s="7"/>
      <c r="D207" s="7"/>
      <c r="E207" s="30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3.55" customHeight="1">
      <c r="A208" s="7"/>
      <c r="B208" s="7"/>
      <c r="C208" s="7"/>
      <c r="D208" s="7"/>
      <c r="E208" s="309"/>
      <c r="F208" s="309"/>
      <c r="G208" s="7"/>
      <c r="H208" s="309"/>
      <c r="I208" s="7"/>
      <c r="J208" s="309"/>
      <c r="K208" s="7"/>
      <c r="L208" s="309"/>
      <c r="M208" s="7"/>
      <c r="N208" s="309"/>
      <c r="O208" s="7"/>
      <c r="P208" s="309"/>
      <c r="Q208" s="7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  <c r="AB208" s="309"/>
      <c r="AC208" s="309"/>
      <c r="AD208" s="7"/>
      <c r="AE208" s="7"/>
      <c r="AF208" s="7"/>
    </row>
    <row r="209" ht="13.55" customHeight="1">
      <c r="A209" s="7"/>
      <c r="B209" s="7"/>
      <c r="C209" s="7"/>
      <c r="D209" s="7"/>
      <c r="E209" s="7"/>
      <c r="F209" s="309"/>
      <c r="G209" s="316"/>
      <c r="H209" s="309"/>
      <c r="I209" s="316"/>
      <c r="J209" s="309"/>
      <c r="K209" s="316"/>
      <c r="L209" s="309"/>
      <c r="M209" s="316"/>
      <c r="N209" s="309"/>
      <c r="O209" s="316"/>
      <c r="P209" s="309"/>
      <c r="Q209" s="316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  <c r="AB209" s="309"/>
      <c r="AC209" s="309"/>
      <c r="AD209" s="7"/>
      <c r="AE209" s="7"/>
      <c r="AF209" s="7"/>
    </row>
    <row r="210" ht="13.55" customHeight="1">
      <c r="A210" s="7"/>
      <c r="B210" s="7"/>
      <c r="C210" s="7"/>
      <c r="D210" s="7"/>
      <c r="E210" s="309"/>
      <c r="F210" s="309"/>
      <c r="G210" s="317"/>
      <c r="H210" s="309"/>
      <c r="I210" s="317"/>
      <c r="J210" s="309"/>
      <c r="K210" s="316"/>
      <c r="L210" s="309"/>
      <c r="M210" s="317"/>
      <c r="N210" s="309"/>
      <c r="O210" s="317"/>
      <c r="P210" s="309"/>
      <c r="Q210" s="318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  <c r="AB210" s="309"/>
      <c r="AC210" s="309"/>
      <c r="AD210" s="7"/>
      <c r="AE210" s="7"/>
      <c r="AF210" s="7"/>
    </row>
    <row r="211" ht="13.55" customHeight="1">
      <c r="A211" s="7"/>
      <c r="B211" s="7"/>
      <c r="C211" s="7"/>
      <c r="D211" s="7"/>
      <c r="E211" s="309"/>
      <c r="F211" s="309"/>
      <c r="G211" s="316"/>
      <c r="H211" s="309"/>
      <c r="I211" s="7"/>
      <c r="J211" s="309"/>
      <c r="K211" s="316"/>
      <c r="L211" s="309"/>
      <c r="M211" s="7"/>
      <c r="N211" s="309"/>
      <c r="O211" s="7"/>
      <c r="P211" s="309"/>
      <c r="Q211" s="7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  <c r="AB211" s="309"/>
      <c r="AC211" s="309"/>
      <c r="AD211" s="7"/>
      <c r="AE211" s="7"/>
      <c r="AF211" s="7"/>
    </row>
    <row r="212" ht="13.55" customHeight="1">
      <c r="A212" s="7"/>
      <c r="B212" s="7"/>
      <c r="C212" s="7"/>
      <c r="D212" s="7"/>
      <c r="E212" s="309"/>
      <c r="F212" s="309"/>
      <c r="G212" s="316"/>
      <c r="H212" s="309"/>
      <c r="I212" s="316"/>
      <c r="J212" s="309"/>
      <c r="K212" s="316"/>
      <c r="L212" s="309"/>
      <c r="M212" s="316"/>
      <c r="N212" s="309"/>
      <c r="O212" s="316"/>
      <c r="P212" s="309"/>
      <c r="Q212" s="316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  <c r="AB212" s="309"/>
      <c r="AC212" s="309"/>
      <c r="AD212" s="7"/>
      <c r="AE212" s="7"/>
      <c r="AF212" s="7"/>
    </row>
    <row r="213" ht="13.55" customHeight="1">
      <c r="A213" s="7"/>
      <c r="B213" s="7"/>
      <c r="C213" s="7"/>
      <c r="D213" s="7"/>
      <c r="E213" s="309"/>
      <c r="F213" s="309"/>
      <c r="G213" s="316"/>
      <c r="H213" s="309"/>
      <c r="I213" s="317"/>
      <c r="J213" s="309"/>
      <c r="K213" s="316"/>
      <c r="L213" s="309"/>
      <c r="M213" s="317"/>
      <c r="N213" s="309"/>
      <c r="O213" s="317"/>
      <c r="P213" s="309"/>
      <c r="Q213" s="317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  <c r="AB213" s="309"/>
      <c r="AC213" s="309"/>
      <c r="AD213" s="7"/>
      <c r="AE213" s="7"/>
      <c r="AF213" s="7"/>
    </row>
    <row r="214" ht="13.55" customHeight="1">
      <c r="A214" s="7"/>
      <c r="B214" s="7"/>
      <c r="C214" s="7"/>
      <c r="D214" s="7"/>
      <c r="E214" s="30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3.55" customHeight="1">
      <c r="A215" s="7"/>
      <c r="B215" s="7"/>
      <c r="C215" s="7"/>
      <c r="D215" s="7"/>
      <c r="E215" s="309"/>
      <c r="F215" s="309"/>
      <c r="G215" s="7"/>
      <c r="H215" s="309"/>
      <c r="I215" s="7"/>
      <c r="J215" s="309"/>
      <c r="K215" s="7"/>
      <c r="L215" s="309"/>
      <c r="M215" s="7"/>
      <c r="N215" s="309"/>
      <c r="O215" s="7"/>
      <c r="P215" s="309"/>
      <c r="Q215" s="7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  <c r="AB215" s="309"/>
      <c r="AC215" s="309"/>
      <c r="AD215" s="7"/>
      <c r="AE215" s="7"/>
      <c r="AF215" s="7"/>
    </row>
    <row r="216" ht="13.55" customHeight="1">
      <c r="A216" s="7"/>
      <c r="B216" s="7"/>
      <c r="C216" s="7"/>
      <c r="D216" s="7"/>
      <c r="E216" s="7"/>
      <c r="F216" s="309"/>
      <c r="G216" s="316"/>
      <c r="H216" s="309"/>
      <c r="I216" s="316"/>
      <c r="J216" s="309"/>
      <c r="K216" s="316"/>
      <c r="L216" s="309"/>
      <c r="M216" s="316"/>
      <c r="N216" s="309"/>
      <c r="O216" s="316"/>
      <c r="P216" s="309"/>
      <c r="Q216" s="316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  <c r="AB216" s="309"/>
      <c r="AC216" s="309"/>
      <c r="AD216" s="7"/>
      <c r="AE216" s="7"/>
      <c r="AF216" s="7"/>
    </row>
    <row r="217" ht="13.55" customHeight="1">
      <c r="A217" s="7"/>
      <c r="B217" s="7"/>
      <c r="C217" s="7"/>
      <c r="D217" s="7"/>
      <c r="E217" s="309"/>
      <c r="F217" s="309"/>
      <c r="G217" s="317"/>
      <c r="H217" s="309"/>
      <c r="I217" s="317"/>
      <c r="J217" s="309"/>
      <c r="K217" s="316"/>
      <c r="L217" s="309"/>
      <c r="M217" s="317"/>
      <c r="N217" s="309"/>
      <c r="O217" s="317"/>
      <c r="P217" s="309"/>
      <c r="Q217" s="318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  <c r="AB217" s="309"/>
      <c r="AC217" s="309"/>
      <c r="AD217" s="7"/>
      <c r="AE217" s="7"/>
      <c r="AF217" s="7"/>
    </row>
    <row r="218" ht="13.55" customHeight="1">
      <c r="A218" s="7"/>
      <c r="B218" s="7"/>
      <c r="C218" s="7"/>
      <c r="D218" s="7"/>
      <c r="E218" s="309"/>
      <c r="F218" s="309"/>
      <c r="G218" s="316"/>
      <c r="H218" s="309"/>
      <c r="I218" s="7"/>
      <c r="J218" s="309"/>
      <c r="K218" s="316"/>
      <c r="L218" s="309"/>
      <c r="M218" s="7"/>
      <c r="N218" s="309"/>
      <c r="O218" s="7"/>
      <c r="P218" s="309"/>
      <c r="Q218" s="7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7"/>
      <c r="AE218" s="7"/>
      <c r="AF218" s="7"/>
    </row>
    <row r="219" ht="13.55" customHeight="1">
      <c r="A219" s="7"/>
      <c r="B219" s="7"/>
      <c r="C219" s="7"/>
      <c r="D219" s="7"/>
      <c r="E219" s="309"/>
      <c r="F219" s="309"/>
      <c r="G219" s="316"/>
      <c r="H219" s="309"/>
      <c r="I219" s="316"/>
      <c r="J219" s="309"/>
      <c r="K219" s="316"/>
      <c r="L219" s="309"/>
      <c r="M219" s="316"/>
      <c r="N219" s="309"/>
      <c r="O219" s="316"/>
      <c r="P219" s="309"/>
      <c r="Q219" s="316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  <c r="AB219" s="309"/>
      <c r="AC219" s="309"/>
      <c r="AD219" s="7"/>
      <c r="AE219" s="7"/>
      <c r="AF219" s="7"/>
    </row>
    <row r="220" ht="13.55" customHeight="1">
      <c r="A220" s="7"/>
      <c r="B220" s="7"/>
      <c r="C220" s="7"/>
      <c r="D220" s="7"/>
      <c r="E220" s="309"/>
      <c r="F220" s="309"/>
      <c r="G220" s="316"/>
      <c r="H220" s="309"/>
      <c r="I220" s="317"/>
      <c r="J220" s="309"/>
      <c r="K220" s="316"/>
      <c r="L220" s="309"/>
      <c r="M220" s="317"/>
      <c r="N220" s="309"/>
      <c r="O220" s="317"/>
      <c r="P220" s="309"/>
      <c r="Q220" s="317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  <c r="AB220" s="309"/>
      <c r="AC220" s="309"/>
      <c r="AD220" s="7"/>
      <c r="AE220" s="7"/>
      <c r="AF220" s="7"/>
    </row>
    <row r="221" ht="13.55" customHeight="1">
      <c r="A221" s="7"/>
      <c r="B221" s="7"/>
      <c r="C221" s="7"/>
      <c r="D221" s="7"/>
      <c r="E221" s="30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3.55" customHeight="1">
      <c r="A222" s="7"/>
      <c r="B222" s="7"/>
      <c r="C222" s="7"/>
      <c r="D222" s="7"/>
      <c r="E222" s="309"/>
      <c r="F222" s="309"/>
      <c r="G222" s="7"/>
      <c r="H222" s="309"/>
      <c r="I222" s="7"/>
      <c r="J222" s="309"/>
      <c r="K222" s="7"/>
      <c r="L222" s="309"/>
      <c r="M222" s="7"/>
      <c r="N222" s="309"/>
      <c r="O222" s="7"/>
      <c r="P222" s="309"/>
      <c r="Q222" s="7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  <c r="AB222" s="309"/>
      <c r="AC222" s="309"/>
      <c r="AD222" s="7"/>
      <c r="AE222" s="7"/>
      <c r="AF222" s="7"/>
    </row>
    <row r="223" ht="13.55" customHeight="1">
      <c r="A223" s="7"/>
      <c r="B223" s="7"/>
      <c r="C223" s="7"/>
      <c r="D223" s="7"/>
      <c r="E223" s="7"/>
      <c r="F223" s="309"/>
      <c r="G223" s="316"/>
      <c r="H223" s="309"/>
      <c r="I223" s="316"/>
      <c r="J223" s="309"/>
      <c r="K223" s="316"/>
      <c r="L223" s="309"/>
      <c r="M223" s="316"/>
      <c r="N223" s="309"/>
      <c r="O223" s="316"/>
      <c r="P223" s="309"/>
      <c r="Q223" s="316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  <c r="AB223" s="309"/>
      <c r="AC223" s="309"/>
      <c r="AD223" s="7"/>
      <c r="AE223" s="7"/>
      <c r="AF223" s="7"/>
    </row>
    <row r="224" ht="13.55" customHeight="1">
      <c r="A224" s="7"/>
      <c r="B224" s="7"/>
      <c r="C224" s="7"/>
      <c r="D224" s="7"/>
      <c r="E224" s="309"/>
      <c r="F224" s="309"/>
      <c r="G224" s="317"/>
      <c r="H224" s="309"/>
      <c r="I224" s="317"/>
      <c r="J224" s="309"/>
      <c r="K224" s="316"/>
      <c r="L224" s="309"/>
      <c r="M224" s="317"/>
      <c r="N224" s="309"/>
      <c r="O224" s="317"/>
      <c r="P224" s="309"/>
      <c r="Q224" s="318"/>
      <c r="R224" s="309"/>
      <c r="S224" s="309"/>
      <c r="T224" s="309"/>
      <c r="U224" s="309"/>
      <c r="V224" s="309"/>
      <c r="W224" s="309"/>
      <c r="X224" s="309"/>
      <c r="Y224" s="309"/>
      <c r="Z224" s="309"/>
      <c r="AA224" s="309"/>
      <c r="AB224" s="309"/>
      <c r="AC224" s="309"/>
      <c r="AD224" s="7"/>
      <c r="AE224" s="7"/>
      <c r="AF224" s="7"/>
    </row>
    <row r="225" ht="13.55" customHeight="1">
      <c r="A225" s="7"/>
      <c r="B225" s="7"/>
      <c r="C225" s="7"/>
      <c r="D225" s="7"/>
      <c r="E225" s="309"/>
      <c r="F225" s="309"/>
      <c r="G225" s="316"/>
      <c r="H225" s="309"/>
      <c r="I225" s="7"/>
      <c r="J225" s="309"/>
      <c r="K225" s="316"/>
      <c r="L225" s="309"/>
      <c r="M225" s="7"/>
      <c r="N225" s="309"/>
      <c r="O225" s="7"/>
      <c r="P225" s="309"/>
      <c r="Q225" s="7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  <c r="AB225" s="309"/>
      <c r="AC225" s="309"/>
      <c r="AD225" s="7"/>
      <c r="AE225" s="7"/>
      <c r="AF225" s="7"/>
    </row>
    <row r="226" ht="13.55" customHeight="1">
      <c r="A226" s="7"/>
      <c r="B226" s="7"/>
      <c r="C226" s="7"/>
      <c r="D226" s="7"/>
      <c r="E226" s="309"/>
      <c r="F226" s="309"/>
      <c r="G226" s="316"/>
      <c r="H226" s="309"/>
      <c r="I226" s="316"/>
      <c r="J226" s="309"/>
      <c r="K226" s="316"/>
      <c r="L226" s="309"/>
      <c r="M226" s="316"/>
      <c r="N226" s="309"/>
      <c r="O226" s="316"/>
      <c r="P226" s="309"/>
      <c r="Q226" s="316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  <c r="AB226" s="309"/>
      <c r="AC226" s="309"/>
      <c r="AD226" s="7"/>
      <c r="AE226" s="7"/>
      <c r="AF226" s="7"/>
    </row>
    <row r="227" ht="13.55" customHeight="1">
      <c r="A227" s="7"/>
      <c r="B227" s="7"/>
      <c r="C227" s="7"/>
      <c r="D227" s="7"/>
      <c r="E227" s="309"/>
      <c r="F227" s="309"/>
      <c r="G227" s="316"/>
      <c r="H227" s="309"/>
      <c r="I227" s="317"/>
      <c r="J227" s="309"/>
      <c r="K227" s="316"/>
      <c r="L227" s="309"/>
      <c r="M227" s="317"/>
      <c r="N227" s="309"/>
      <c r="O227" s="317"/>
      <c r="P227" s="309"/>
      <c r="Q227" s="317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309"/>
      <c r="AD227" s="7"/>
      <c r="AE227" s="7"/>
      <c r="AF227" s="7"/>
    </row>
    <row r="228" ht="13.55" customHeight="1">
      <c r="A228" s="7"/>
      <c r="B228" s="7"/>
      <c r="C228" s="7"/>
      <c r="D228" s="7"/>
      <c r="E228" s="30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3.55" customHeight="1">
      <c r="A229" s="7"/>
      <c r="B229" s="7"/>
      <c r="C229" s="7"/>
      <c r="D229" s="7"/>
      <c r="E229" s="309"/>
      <c r="F229" s="309"/>
      <c r="G229" s="7"/>
      <c r="H229" s="309"/>
      <c r="I229" s="7"/>
      <c r="J229" s="309"/>
      <c r="K229" s="7"/>
      <c r="L229" s="309"/>
      <c r="M229" s="7"/>
      <c r="N229" s="309"/>
      <c r="O229" s="7"/>
      <c r="P229" s="309"/>
      <c r="Q229" s="7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309"/>
      <c r="AD229" s="7"/>
      <c r="AE229" s="7"/>
      <c r="AF229" s="7"/>
    </row>
    <row r="230" ht="13.55" customHeight="1">
      <c r="A230" s="7"/>
      <c r="B230" s="7"/>
      <c r="C230" s="7"/>
      <c r="D230" s="7"/>
      <c r="E230" s="7"/>
      <c r="F230" s="309"/>
      <c r="G230" s="316"/>
      <c r="H230" s="309"/>
      <c r="I230" s="316"/>
      <c r="J230" s="309"/>
      <c r="K230" s="316"/>
      <c r="L230" s="309"/>
      <c r="M230" s="316"/>
      <c r="N230" s="309"/>
      <c r="O230" s="316"/>
      <c r="P230" s="309"/>
      <c r="Q230" s="316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309"/>
      <c r="AD230" s="7"/>
      <c r="AE230" s="7"/>
      <c r="AF230" s="7"/>
    </row>
    <row r="231" ht="13.55" customHeight="1">
      <c r="A231" s="7"/>
      <c r="B231" s="7"/>
      <c r="C231" s="7"/>
      <c r="D231" s="7"/>
      <c r="E231" s="309"/>
      <c r="F231" s="309"/>
      <c r="G231" s="317"/>
      <c r="H231" s="309"/>
      <c r="I231" s="317"/>
      <c r="J231" s="309"/>
      <c r="K231" s="316"/>
      <c r="L231" s="309"/>
      <c r="M231" s="317"/>
      <c r="N231" s="309"/>
      <c r="O231" s="317"/>
      <c r="P231" s="309"/>
      <c r="Q231" s="318"/>
      <c r="R231" s="309"/>
      <c r="S231" s="309"/>
      <c r="T231" s="309"/>
      <c r="U231" s="309"/>
      <c r="V231" s="309"/>
      <c r="W231" s="309"/>
      <c r="X231" s="309"/>
      <c r="Y231" s="309"/>
      <c r="Z231" s="309"/>
      <c r="AA231" s="309"/>
      <c r="AB231" s="309"/>
      <c r="AC231" s="309"/>
      <c r="AD231" s="7"/>
      <c r="AE231" s="7"/>
      <c r="AF231" s="7"/>
    </row>
    <row r="232" ht="13.55" customHeight="1">
      <c r="A232" s="7"/>
      <c r="B232" s="7"/>
      <c r="C232" s="7"/>
      <c r="D232" s="7"/>
      <c r="E232" s="309"/>
      <c r="F232" s="309"/>
      <c r="G232" s="316"/>
      <c r="H232" s="309"/>
      <c r="I232" s="7"/>
      <c r="J232" s="309"/>
      <c r="K232" s="316"/>
      <c r="L232" s="309"/>
      <c r="M232" s="7"/>
      <c r="N232" s="309"/>
      <c r="O232" s="7"/>
      <c r="P232" s="309"/>
      <c r="Q232" s="7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  <c r="AB232" s="309"/>
      <c r="AC232" s="309"/>
      <c r="AD232" s="7"/>
      <c r="AE232" s="7"/>
      <c r="AF232" s="7"/>
    </row>
    <row r="233" ht="13.55" customHeight="1">
      <c r="A233" s="7"/>
      <c r="B233" s="7"/>
      <c r="C233" s="7"/>
      <c r="D233" s="7"/>
      <c r="E233" s="309"/>
      <c r="F233" s="309"/>
      <c r="G233" s="316"/>
      <c r="H233" s="309"/>
      <c r="I233" s="316"/>
      <c r="J233" s="309"/>
      <c r="K233" s="316"/>
      <c r="L233" s="309"/>
      <c r="M233" s="316"/>
      <c r="N233" s="309"/>
      <c r="O233" s="316"/>
      <c r="P233" s="309"/>
      <c r="Q233" s="316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  <c r="AB233" s="309"/>
      <c r="AC233" s="309"/>
      <c r="AD233" s="7"/>
      <c r="AE233" s="7"/>
      <c r="AF233" s="7"/>
    </row>
    <row r="234" ht="13.55" customHeight="1">
      <c r="A234" s="7"/>
      <c r="B234" s="7"/>
      <c r="C234" s="7"/>
      <c r="D234" s="7"/>
      <c r="E234" s="309"/>
      <c r="F234" s="309"/>
      <c r="G234" s="316"/>
      <c r="H234" s="309"/>
      <c r="I234" s="317"/>
      <c r="J234" s="309"/>
      <c r="K234" s="316"/>
      <c r="L234" s="309"/>
      <c r="M234" s="317"/>
      <c r="N234" s="309"/>
      <c r="O234" s="317"/>
      <c r="P234" s="309"/>
      <c r="Q234" s="317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7"/>
      <c r="AE234" s="7"/>
      <c r="AF234" s="7"/>
    </row>
    <row r="235" ht="13.55" customHeight="1">
      <c r="A235" s="7"/>
      <c r="B235" s="7"/>
      <c r="C235" s="7"/>
      <c r="D235" s="7"/>
      <c r="E235" s="30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3.55" customHeight="1">
      <c r="A236" s="7"/>
      <c r="B236" s="7"/>
      <c r="C236" s="7"/>
      <c r="D236" s="7"/>
      <c r="E236" s="309"/>
      <c r="F236" s="309"/>
      <c r="G236" s="7"/>
      <c r="H236" s="309"/>
      <c r="I236" s="7"/>
      <c r="J236" s="309"/>
      <c r="K236" s="7"/>
      <c r="L236" s="309"/>
      <c r="M236" s="7"/>
      <c r="N236" s="309"/>
      <c r="O236" s="7"/>
      <c r="P236" s="309"/>
      <c r="Q236" s="7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  <c r="AB236" s="309"/>
      <c r="AC236" s="309"/>
      <c r="AD236" s="7"/>
      <c r="AE236" s="7"/>
      <c r="AF236" s="7"/>
    </row>
    <row r="237" ht="13.55" customHeight="1">
      <c r="A237" s="7"/>
      <c r="B237" s="7"/>
      <c r="C237" s="7"/>
      <c r="D237" s="7"/>
      <c r="E237" s="7"/>
      <c r="F237" s="309"/>
      <c r="G237" s="316"/>
      <c r="H237" s="309"/>
      <c r="I237" s="316"/>
      <c r="J237" s="309"/>
      <c r="K237" s="316"/>
      <c r="L237" s="309"/>
      <c r="M237" s="316"/>
      <c r="N237" s="309"/>
      <c r="O237" s="316"/>
      <c r="P237" s="309"/>
      <c r="Q237" s="316"/>
      <c r="R237" s="309"/>
      <c r="S237" s="309"/>
      <c r="T237" s="309"/>
      <c r="U237" s="309"/>
      <c r="V237" s="309"/>
      <c r="W237" s="309"/>
      <c r="X237" s="309"/>
      <c r="Y237" s="309"/>
      <c r="Z237" s="309"/>
      <c r="AA237" s="309"/>
      <c r="AB237" s="309"/>
      <c r="AC237" s="309"/>
      <c r="AD237" s="7"/>
      <c r="AE237" s="7"/>
      <c r="AF237" s="7"/>
    </row>
    <row r="238" ht="13.55" customHeight="1">
      <c r="A238" s="7"/>
      <c r="B238" s="7"/>
      <c r="C238" s="7"/>
      <c r="D238" s="7"/>
      <c r="E238" s="309"/>
      <c r="F238" s="309"/>
      <c r="G238" s="317"/>
      <c r="H238" s="309"/>
      <c r="I238" s="317"/>
      <c r="J238" s="309"/>
      <c r="K238" s="316"/>
      <c r="L238" s="309"/>
      <c r="M238" s="317"/>
      <c r="N238" s="309"/>
      <c r="O238" s="317"/>
      <c r="P238" s="309"/>
      <c r="Q238" s="318"/>
      <c r="R238" s="309"/>
      <c r="S238" s="309"/>
      <c r="T238" s="309"/>
      <c r="U238" s="309"/>
      <c r="V238" s="309"/>
      <c r="W238" s="309"/>
      <c r="X238" s="309"/>
      <c r="Y238" s="309"/>
      <c r="Z238" s="309"/>
      <c r="AA238" s="309"/>
      <c r="AB238" s="309"/>
      <c r="AC238" s="309"/>
      <c r="AD238" s="7"/>
      <c r="AE238" s="7"/>
      <c r="AF238" s="7"/>
    </row>
    <row r="239" ht="13.55" customHeight="1">
      <c r="A239" s="7"/>
      <c r="B239" s="7"/>
      <c r="C239" s="7"/>
      <c r="D239" s="7"/>
      <c r="E239" s="309"/>
      <c r="F239" s="309"/>
      <c r="G239" s="316"/>
      <c r="H239" s="309"/>
      <c r="I239" s="7"/>
      <c r="J239" s="309"/>
      <c r="K239" s="316"/>
      <c r="L239" s="309"/>
      <c r="M239" s="7"/>
      <c r="N239" s="309"/>
      <c r="O239" s="7"/>
      <c r="P239" s="309"/>
      <c r="Q239" s="7"/>
      <c r="R239" s="309"/>
      <c r="S239" s="309"/>
      <c r="T239" s="309"/>
      <c r="U239" s="309"/>
      <c r="V239" s="309"/>
      <c r="W239" s="309"/>
      <c r="X239" s="309"/>
      <c r="Y239" s="309"/>
      <c r="Z239" s="309"/>
      <c r="AA239" s="309"/>
      <c r="AB239" s="309"/>
      <c r="AC239" s="309"/>
      <c r="AD239" s="7"/>
      <c r="AE239" s="7"/>
      <c r="AF239" s="7"/>
    </row>
    <row r="240" ht="13.55" customHeight="1">
      <c r="A240" s="7"/>
      <c r="B240" s="7"/>
      <c r="C240" s="7"/>
      <c r="D240" s="7"/>
      <c r="E240" s="309"/>
      <c r="F240" s="309"/>
      <c r="G240" s="316"/>
      <c r="H240" s="309"/>
      <c r="I240" s="316"/>
      <c r="J240" s="309"/>
      <c r="K240" s="316"/>
      <c r="L240" s="309"/>
      <c r="M240" s="316"/>
      <c r="N240" s="309"/>
      <c r="O240" s="316"/>
      <c r="P240" s="309"/>
      <c r="Q240" s="316"/>
      <c r="R240" s="309"/>
      <c r="S240" s="309"/>
      <c r="T240" s="309"/>
      <c r="U240" s="309"/>
      <c r="V240" s="309"/>
      <c r="W240" s="309"/>
      <c r="X240" s="309"/>
      <c r="Y240" s="309"/>
      <c r="Z240" s="309"/>
      <c r="AA240" s="309"/>
      <c r="AB240" s="309"/>
      <c r="AC240" s="309"/>
      <c r="AD240" s="7"/>
      <c r="AE240" s="7"/>
      <c r="AF240" s="7"/>
    </row>
    <row r="241" ht="13.55" customHeight="1">
      <c r="A241" s="7"/>
      <c r="B241" s="7"/>
      <c r="C241" s="7"/>
      <c r="D241" s="7"/>
      <c r="E241" s="309"/>
      <c r="F241" s="309"/>
      <c r="G241" s="316"/>
      <c r="H241" s="309"/>
      <c r="I241" s="317"/>
      <c r="J241" s="309"/>
      <c r="K241" s="316"/>
      <c r="L241" s="309"/>
      <c r="M241" s="317"/>
      <c r="N241" s="309"/>
      <c r="O241" s="317"/>
      <c r="P241" s="309"/>
      <c r="Q241" s="317"/>
      <c r="R241" s="309"/>
      <c r="S241" s="309"/>
      <c r="T241" s="309"/>
      <c r="U241" s="309"/>
      <c r="V241" s="309"/>
      <c r="W241" s="309"/>
      <c r="X241" s="309"/>
      <c r="Y241" s="309"/>
      <c r="Z241" s="309"/>
      <c r="AA241" s="309"/>
      <c r="AB241" s="309"/>
      <c r="AC241" s="309"/>
      <c r="AD241" s="7"/>
      <c r="AE241" s="7"/>
      <c r="AF241" s="7"/>
    </row>
    <row r="242" ht="13.55" customHeight="1">
      <c r="A242" s="7"/>
      <c r="B242" s="7"/>
      <c r="C242" s="7"/>
      <c r="D242" s="7"/>
      <c r="E242" s="30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3.55" customHeight="1">
      <c r="A243" s="7"/>
      <c r="B243" s="7"/>
      <c r="C243" s="7"/>
      <c r="D243" s="7"/>
      <c r="E243" s="309"/>
      <c r="F243" s="309"/>
      <c r="G243" s="7"/>
      <c r="H243" s="309"/>
      <c r="I243" s="7"/>
      <c r="J243" s="309"/>
      <c r="K243" s="7"/>
      <c r="L243" s="309"/>
      <c r="M243" s="7"/>
      <c r="N243" s="309"/>
      <c r="O243" s="7"/>
      <c r="P243" s="309"/>
      <c r="Q243" s="7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7"/>
      <c r="AE243" s="7"/>
      <c r="AF243" s="7"/>
    </row>
    <row r="244" ht="13.55" customHeight="1">
      <c r="A244" s="7"/>
      <c r="B244" s="7"/>
      <c r="C244" s="7"/>
      <c r="D244" s="7"/>
      <c r="E244" s="7"/>
      <c r="F244" s="309"/>
      <c r="G244" s="316"/>
      <c r="H244" s="309"/>
      <c r="I244" s="316"/>
      <c r="J244" s="309"/>
      <c r="K244" s="316"/>
      <c r="L244" s="309"/>
      <c r="M244" s="316"/>
      <c r="N244" s="309"/>
      <c r="O244" s="316"/>
      <c r="P244" s="309"/>
      <c r="Q244" s="316"/>
      <c r="R244" s="309"/>
      <c r="S244" s="309"/>
      <c r="T244" s="309"/>
      <c r="U244" s="309"/>
      <c r="V244" s="309"/>
      <c r="W244" s="309"/>
      <c r="X244" s="309"/>
      <c r="Y244" s="309"/>
      <c r="Z244" s="309"/>
      <c r="AA244" s="309"/>
      <c r="AB244" s="309"/>
      <c r="AC244" s="309"/>
      <c r="AD244" s="7"/>
      <c r="AE244" s="7"/>
      <c r="AF244" s="7"/>
    </row>
    <row r="245" ht="13.55" customHeight="1">
      <c r="A245" s="7"/>
      <c r="B245" s="7"/>
      <c r="C245" s="7"/>
      <c r="D245" s="7"/>
      <c r="E245" s="309"/>
      <c r="F245" s="309"/>
      <c r="G245" s="317"/>
      <c r="H245" s="309"/>
      <c r="I245" s="317"/>
      <c r="J245" s="309"/>
      <c r="K245" s="316"/>
      <c r="L245" s="309"/>
      <c r="M245" s="317"/>
      <c r="N245" s="309"/>
      <c r="O245" s="317"/>
      <c r="P245" s="309"/>
      <c r="Q245" s="318"/>
      <c r="R245" s="309"/>
      <c r="S245" s="309"/>
      <c r="T245" s="309"/>
      <c r="U245" s="309"/>
      <c r="V245" s="309"/>
      <c r="W245" s="309"/>
      <c r="X245" s="309"/>
      <c r="Y245" s="309"/>
      <c r="Z245" s="309"/>
      <c r="AA245" s="309"/>
      <c r="AB245" s="309"/>
      <c r="AC245" s="309"/>
      <c r="AD245" s="7"/>
      <c r="AE245" s="7"/>
      <c r="AF245" s="7"/>
    </row>
    <row r="246" ht="13.55" customHeight="1">
      <c r="A246" s="7"/>
      <c r="B246" s="7"/>
      <c r="C246" s="7"/>
      <c r="D246" s="7"/>
      <c r="E246" s="309"/>
      <c r="F246" s="309"/>
      <c r="G246" s="316"/>
      <c r="H246" s="309"/>
      <c r="I246" s="7"/>
      <c r="J246" s="309"/>
      <c r="K246" s="316"/>
      <c r="L246" s="309"/>
      <c r="M246" s="7"/>
      <c r="N246" s="309"/>
      <c r="O246" s="7"/>
      <c r="P246" s="309"/>
      <c r="Q246" s="7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  <c r="AB246" s="309"/>
      <c r="AC246" s="309"/>
      <c r="AD246" s="7"/>
      <c r="AE246" s="7"/>
      <c r="AF246" s="7"/>
    </row>
    <row r="247" ht="13.55" customHeight="1">
      <c r="A247" s="7"/>
      <c r="B247" s="7"/>
      <c r="C247" s="7"/>
      <c r="D247" s="7"/>
      <c r="E247" s="309"/>
      <c r="F247" s="309"/>
      <c r="G247" s="316"/>
      <c r="H247" s="309"/>
      <c r="I247" s="316"/>
      <c r="J247" s="309"/>
      <c r="K247" s="316"/>
      <c r="L247" s="309"/>
      <c r="M247" s="316"/>
      <c r="N247" s="309"/>
      <c r="O247" s="316"/>
      <c r="P247" s="309"/>
      <c r="Q247" s="316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7"/>
      <c r="AE247" s="7"/>
      <c r="AF247" s="7"/>
    </row>
    <row r="248" ht="13.55" customHeight="1">
      <c r="A248" s="7"/>
      <c r="B248" s="7"/>
      <c r="C248" s="7"/>
      <c r="D248" s="7"/>
      <c r="E248" s="309"/>
      <c r="F248" s="309"/>
      <c r="G248" s="316"/>
      <c r="H248" s="309"/>
      <c r="I248" s="317"/>
      <c r="J248" s="309"/>
      <c r="K248" s="316"/>
      <c r="L248" s="309"/>
      <c r="M248" s="317"/>
      <c r="N248" s="309"/>
      <c r="O248" s="317"/>
      <c r="P248" s="309"/>
      <c r="Q248" s="317"/>
      <c r="R248" s="309"/>
      <c r="S248" s="309"/>
      <c r="T248" s="309"/>
      <c r="U248" s="309"/>
      <c r="V248" s="309"/>
      <c r="W248" s="309"/>
      <c r="X248" s="309"/>
      <c r="Y248" s="309"/>
      <c r="Z248" s="309"/>
      <c r="AA248" s="309"/>
      <c r="AB248" s="309"/>
      <c r="AC248" s="309"/>
      <c r="AD248" s="7"/>
      <c r="AE248" s="7"/>
      <c r="AF248" s="7"/>
    </row>
    <row r="249" ht="13.55" customHeight="1">
      <c r="A249" s="7"/>
      <c r="B249" s="7"/>
      <c r="C249" s="7"/>
      <c r="D249" s="7"/>
      <c r="E249" s="30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3.55" customHeight="1">
      <c r="A250" s="7"/>
      <c r="B250" s="7"/>
      <c r="C250" s="7"/>
      <c r="D250" s="7"/>
      <c r="E250" s="309"/>
      <c r="F250" s="309"/>
      <c r="G250" s="7"/>
      <c r="H250" s="309"/>
      <c r="I250" s="7"/>
      <c r="J250" s="309"/>
      <c r="K250" s="7"/>
      <c r="L250" s="309"/>
      <c r="M250" s="7"/>
      <c r="N250" s="309"/>
      <c r="O250" s="7"/>
      <c r="P250" s="309"/>
      <c r="Q250" s="7"/>
      <c r="R250" s="309"/>
      <c r="S250" s="309"/>
      <c r="T250" s="309"/>
      <c r="U250" s="309"/>
      <c r="V250" s="309"/>
      <c r="W250" s="309"/>
      <c r="X250" s="309"/>
      <c r="Y250" s="309"/>
      <c r="Z250" s="309"/>
      <c r="AA250" s="309"/>
      <c r="AB250" s="309"/>
      <c r="AC250" s="309"/>
      <c r="AD250" s="7"/>
      <c r="AE250" s="7"/>
      <c r="AF250" s="7"/>
    </row>
    <row r="251" ht="13.55" customHeight="1">
      <c r="A251" s="7"/>
      <c r="B251" s="7"/>
      <c r="C251" s="7"/>
      <c r="D251" s="7"/>
      <c r="E251" s="7"/>
      <c r="F251" s="309"/>
      <c r="G251" s="316"/>
      <c r="H251" s="309"/>
      <c r="I251" s="316"/>
      <c r="J251" s="309"/>
      <c r="K251" s="316"/>
      <c r="L251" s="309"/>
      <c r="M251" s="316"/>
      <c r="N251" s="309"/>
      <c r="O251" s="316"/>
      <c r="P251" s="309"/>
      <c r="Q251" s="316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7"/>
      <c r="AE251" s="7"/>
      <c r="AF251" s="7"/>
    </row>
    <row r="252" ht="13.55" customHeight="1">
      <c r="A252" s="7"/>
      <c r="B252" s="7"/>
      <c r="C252" s="7"/>
      <c r="D252" s="7"/>
      <c r="E252" s="309"/>
      <c r="F252" s="309"/>
      <c r="G252" s="317"/>
      <c r="H252" s="309"/>
      <c r="I252" s="317"/>
      <c r="J252" s="309"/>
      <c r="K252" s="316"/>
      <c r="L252" s="309"/>
      <c r="M252" s="317"/>
      <c r="N252" s="309"/>
      <c r="O252" s="317"/>
      <c r="P252" s="309"/>
      <c r="Q252" s="318"/>
      <c r="R252" s="309"/>
      <c r="S252" s="309"/>
      <c r="T252" s="309"/>
      <c r="U252" s="309"/>
      <c r="V252" s="309"/>
      <c r="W252" s="309"/>
      <c r="X252" s="309"/>
      <c r="Y252" s="309"/>
      <c r="Z252" s="309"/>
      <c r="AA252" s="309"/>
      <c r="AB252" s="309"/>
      <c r="AC252" s="309"/>
      <c r="AD252" s="7"/>
      <c r="AE252" s="7"/>
      <c r="AF252" s="7"/>
    </row>
    <row r="253" ht="13.55" customHeight="1">
      <c r="A253" s="7"/>
      <c r="B253" s="7"/>
      <c r="C253" s="7"/>
      <c r="D253" s="7"/>
      <c r="E253" s="309"/>
      <c r="F253" s="309"/>
      <c r="G253" s="316"/>
      <c r="H253" s="309"/>
      <c r="I253" s="7"/>
      <c r="J253" s="309"/>
      <c r="K253" s="316"/>
      <c r="L253" s="309"/>
      <c r="M253" s="7"/>
      <c r="N253" s="309"/>
      <c r="O253" s="7"/>
      <c r="P253" s="309"/>
      <c r="Q253" s="7"/>
      <c r="R253" s="309"/>
      <c r="S253" s="309"/>
      <c r="T253" s="309"/>
      <c r="U253" s="309"/>
      <c r="V253" s="309"/>
      <c r="W253" s="309"/>
      <c r="X253" s="309"/>
      <c r="Y253" s="309"/>
      <c r="Z253" s="309"/>
      <c r="AA253" s="309"/>
      <c r="AB253" s="309"/>
      <c r="AC253" s="309"/>
      <c r="AD253" s="7"/>
      <c r="AE253" s="7"/>
      <c r="AF253" s="7"/>
    </row>
    <row r="254" ht="13.55" customHeight="1">
      <c r="A254" s="7"/>
      <c r="B254" s="7"/>
      <c r="C254" s="7"/>
      <c r="D254" s="7"/>
      <c r="E254" s="309"/>
      <c r="F254" s="309"/>
      <c r="G254" s="316"/>
      <c r="H254" s="309"/>
      <c r="I254" s="316"/>
      <c r="J254" s="309"/>
      <c r="K254" s="316"/>
      <c r="L254" s="309"/>
      <c r="M254" s="316"/>
      <c r="N254" s="309"/>
      <c r="O254" s="316"/>
      <c r="P254" s="309"/>
      <c r="Q254" s="316"/>
      <c r="R254" s="309"/>
      <c r="S254" s="309"/>
      <c r="T254" s="309"/>
      <c r="U254" s="309"/>
      <c r="V254" s="309"/>
      <c r="W254" s="309"/>
      <c r="X254" s="309"/>
      <c r="Y254" s="309"/>
      <c r="Z254" s="309"/>
      <c r="AA254" s="309"/>
      <c r="AB254" s="309"/>
      <c r="AC254" s="309"/>
      <c r="AD254" s="7"/>
      <c r="AE254" s="7"/>
      <c r="AF254" s="7"/>
    </row>
    <row r="255" ht="13.55" customHeight="1">
      <c r="A255" s="7"/>
      <c r="B255" s="7"/>
      <c r="C255" s="7"/>
      <c r="D255" s="7"/>
      <c r="E255" s="309"/>
      <c r="F255" s="309"/>
      <c r="G255" s="316"/>
      <c r="H255" s="309"/>
      <c r="I255" s="317"/>
      <c r="J255" s="309"/>
      <c r="K255" s="316"/>
      <c r="L255" s="309"/>
      <c r="M255" s="317"/>
      <c r="N255" s="309"/>
      <c r="O255" s="317"/>
      <c r="P255" s="309"/>
      <c r="Q255" s="317"/>
      <c r="R255" s="309"/>
      <c r="S255" s="309"/>
      <c r="T255" s="309"/>
      <c r="U255" s="309"/>
      <c r="V255" s="309"/>
      <c r="W255" s="309"/>
      <c r="X255" s="309"/>
      <c r="Y255" s="309"/>
      <c r="Z255" s="309"/>
      <c r="AA255" s="309"/>
      <c r="AB255" s="309"/>
      <c r="AC255" s="309"/>
      <c r="AD255" s="7"/>
      <c r="AE255" s="7"/>
      <c r="AF255" s="7"/>
    </row>
    <row r="256" ht="13.55" customHeight="1">
      <c r="A256" s="7"/>
      <c r="B256" s="7"/>
      <c r="C256" s="7"/>
      <c r="D256" s="7"/>
      <c r="E256" s="30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3.55" customHeight="1">
      <c r="A257" s="7"/>
      <c r="B257" s="7"/>
      <c r="C257" s="7"/>
      <c r="D257" s="7"/>
      <c r="E257" s="309"/>
      <c r="F257" s="309"/>
      <c r="G257" s="7"/>
      <c r="H257" s="309"/>
      <c r="I257" s="7"/>
      <c r="J257" s="309"/>
      <c r="K257" s="7"/>
      <c r="L257" s="309"/>
      <c r="M257" s="7"/>
      <c r="N257" s="309"/>
      <c r="O257" s="7"/>
      <c r="P257" s="309"/>
      <c r="Q257" s="7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  <c r="AB257" s="309"/>
      <c r="AC257" s="309"/>
      <c r="AD257" s="7"/>
      <c r="AE257" s="7"/>
      <c r="AF257" s="7"/>
    </row>
    <row r="258" ht="13.55" customHeight="1">
      <c r="A258" s="7"/>
      <c r="B258" s="7"/>
      <c r="C258" s="7"/>
      <c r="D258" s="7"/>
      <c r="E258" s="7"/>
      <c r="F258" s="309"/>
      <c r="G258" s="316"/>
      <c r="H258" s="309"/>
      <c r="I258" s="316"/>
      <c r="J258" s="309"/>
      <c r="K258" s="316"/>
      <c r="L258" s="309"/>
      <c r="M258" s="316"/>
      <c r="N258" s="309"/>
      <c r="O258" s="316"/>
      <c r="P258" s="309"/>
      <c r="Q258" s="316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7"/>
      <c r="AE258" s="7"/>
      <c r="AF258" s="7"/>
    </row>
    <row r="259" ht="13.55" customHeight="1">
      <c r="A259" s="7"/>
      <c r="B259" s="7"/>
      <c r="C259" s="7"/>
      <c r="D259" s="7"/>
      <c r="E259" s="309"/>
      <c r="F259" s="309"/>
      <c r="G259" s="317"/>
      <c r="H259" s="309"/>
      <c r="I259" s="317"/>
      <c r="J259" s="309"/>
      <c r="K259" s="316"/>
      <c r="L259" s="309"/>
      <c r="M259" s="317"/>
      <c r="N259" s="309"/>
      <c r="O259" s="317"/>
      <c r="P259" s="309"/>
      <c r="Q259" s="318"/>
      <c r="R259" s="309"/>
      <c r="S259" s="309"/>
      <c r="T259" s="309"/>
      <c r="U259" s="309"/>
      <c r="V259" s="309"/>
      <c r="W259" s="309"/>
      <c r="X259" s="309"/>
      <c r="Y259" s="309"/>
      <c r="Z259" s="309"/>
      <c r="AA259" s="309"/>
      <c r="AB259" s="309"/>
      <c r="AC259" s="309"/>
      <c r="AD259" s="7"/>
      <c r="AE259" s="7"/>
      <c r="AF259" s="7"/>
    </row>
    <row r="260" ht="13.55" customHeight="1">
      <c r="A260" s="7"/>
      <c r="B260" s="7"/>
      <c r="C260" s="7"/>
      <c r="D260" s="7"/>
      <c r="E260" s="309"/>
      <c r="F260" s="309"/>
      <c r="G260" s="316"/>
      <c r="H260" s="309"/>
      <c r="I260" s="7"/>
      <c r="J260" s="309"/>
      <c r="K260" s="316"/>
      <c r="L260" s="309"/>
      <c r="M260" s="7"/>
      <c r="N260" s="309"/>
      <c r="O260" s="7"/>
      <c r="P260" s="309"/>
      <c r="Q260" s="7"/>
      <c r="R260" s="309"/>
      <c r="S260" s="309"/>
      <c r="T260" s="309"/>
      <c r="U260" s="309"/>
      <c r="V260" s="309"/>
      <c r="W260" s="309"/>
      <c r="X260" s="309"/>
      <c r="Y260" s="309"/>
      <c r="Z260" s="309"/>
      <c r="AA260" s="309"/>
      <c r="AB260" s="309"/>
      <c r="AC260" s="309"/>
      <c r="AD260" s="7"/>
      <c r="AE260" s="7"/>
      <c r="AF260" s="7"/>
    </row>
    <row r="261" ht="13.55" customHeight="1">
      <c r="A261" s="7"/>
      <c r="B261" s="7"/>
      <c r="C261" s="7"/>
      <c r="D261" s="7"/>
      <c r="E261" s="309"/>
      <c r="F261" s="309"/>
      <c r="G261" s="316"/>
      <c r="H261" s="309"/>
      <c r="I261" s="316"/>
      <c r="J261" s="309"/>
      <c r="K261" s="316"/>
      <c r="L261" s="309"/>
      <c r="M261" s="316"/>
      <c r="N261" s="309"/>
      <c r="O261" s="316"/>
      <c r="P261" s="309"/>
      <c r="Q261" s="316"/>
      <c r="R261" s="309"/>
      <c r="S261" s="309"/>
      <c r="T261" s="309"/>
      <c r="U261" s="309"/>
      <c r="V261" s="309"/>
      <c r="W261" s="309"/>
      <c r="X261" s="309"/>
      <c r="Y261" s="309"/>
      <c r="Z261" s="309"/>
      <c r="AA261" s="309"/>
      <c r="AB261" s="309"/>
      <c r="AC261" s="309"/>
      <c r="AD261" s="7"/>
      <c r="AE261" s="7"/>
      <c r="AF261" s="7"/>
    </row>
    <row r="262" ht="13.55" customHeight="1">
      <c r="A262" s="7"/>
      <c r="B262" s="7"/>
      <c r="C262" s="7"/>
      <c r="D262" s="7"/>
      <c r="E262" s="309"/>
      <c r="F262" s="309"/>
      <c r="G262" s="316"/>
      <c r="H262" s="309"/>
      <c r="I262" s="317"/>
      <c r="J262" s="309"/>
      <c r="K262" s="316"/>
      <c r="L262" s="309"/>
      <c r="M262" s="317"/>
      <c r="N262" s="309"/>
      <c r="O262" s="317"/>
      <c r="P262" s="309"/>
      <c r="Q262" s="317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  <c r="AB262" s="309"/>
      <c r="AC262" s="309"/>
      <c r="AD262" s="7"/>
      <c r="AE262" s="7"/>
      <c r="AF262" s="7"/>
    </row>
    <row r="263" ht="13.55" customHeight="1">
      <c r="A263" s="7"/>
      <c r="B263" s="7"/>
      <c r="C263" s="7"/>
      <c r="D263" s="7"/>
      <c r="E263" s="30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3.55" customHeight="1">
      <c r="A264" s="7"/>
      <c r="B264" s="7"/>
      <c r="C264" s="7"/>
      <c r="D264" s="7"/>
      <c r="E264" s="30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</sheetData>
  <mergeCells count="47">
    <mergeCell ref="A171:A176"/>
    <mergeCell ref="A150:A155"/>
    <mergeCell ref="A157:A162"/>
    <mergeCell ref="A129:A134"/>
    <mergeCell ref="A136:A141"/>
    <mergeCell ref="A143:A148"/>
    <mergeCell ref="A164:A169"/>
    <mergeCell ref="A1:K1"/>
    <mergeCell ref="K55:K57"/>
    <mergeCell ref="K62:K64"/>
    <mergeCell ref="K6:K8"/>
    <mergeCell ref="K13:K15"/>
    <mergeCell ref="K20:K22"/>
    <mergeCell ref="K27:K29"/>
    <mergeCell ref="K41:K43"/>
    <mergeCell ref="F2:G2"/>
    <mergeCell ref="H2:I2"/>
    <mergeCell ref="J2:K2"/>
    <mergeCell ref="A3:A8"/>
    <mergeCell ref="L2:M2"/>
    <mergeCell ref="A38:A43"/>
    <mergeCell ref="A45:A50"/>
    <mergeCell ref="A52:A57"/>
    <mergeCell ref="A59:A64"/>
    <mergeCell ref="N2:O2"/>
    <mergeCell ref="Z2:AA2"/>
    <mergeCell ref="AB2:AC2"/>
    <mergeCell ref="P2:Q2"/>
    <mergeCell ref="R2:S2"/>
    <mergeCell ref="T2:U2"/>
    <mergeCell ref="V2:W2"/>
    <mergeCell ref="X2:Y2"/>
    <mergeCell ref="O34:O36"/>
    <mergeCell ref="M13:M15"/>
    <mergeCell ref="A122:A127"/>
    <mergeCell ref="A101:A106"/>
    <mergeCell ref="A108:A113"/>
    <mergeCell ref="A66:A71"/>
    <mergeCell ref="A10:A15"/>
    <mergeCell ref="A17:A22"/>
    <mergeCell ref="A24:A29"/>
    <mergeCell ref="A31:A36"/>
    <mergeCell ref="A115:A120"/>
    <mergeCell ref="A73:A78"/>
    <mergeCell ref="A80:A85"/>
    <mergeCell ref="A87:A92"/>
    <mergeCell ref="A94:A99"/>
  </mergeCells>
  <pageMargins left="0.1" right="0.15" top="0.5" bottom="0.5" header="0.3" footer="0.3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AF220"/>
  <sheetViews>
    <sheetView workbookViewId="0" showGridLines="0" defaultGridColor="1"/>
  </sheetViews>
  <sheetFormatPr defaultColWidth="9.16667" defaultRowHeight="15" customHeight="1" outlineLevelRow="0" outlineLevelCol="0"/>
  <cols>
    <col min="1" max="1" width="4.85156" style="341" customWidth="1"/>
    <col min="2" max="2" width="17.8516" style="341" customWidth="1"/>
    <col min="3" max="3" width="7.85156" style="341" customWidth="1"/>
    <col min="4" max="4" width="6.35156" style="341" customWidth="1"/>
    <col min="5" max="5" width="7.17188" style="341" customWidth="1"/>
    <col min="6" max="6" width="5.35156" style="341" customWidth="1"/>
    <col min="7" max="7" width="9.17188" style="341" customWidth="1"/>
    <col min="8" max="8" width="5.5" style="341" customWidth="1"/>
    <col min="9" max="9" width="9.17188" style="341" customWidth="1"/>
    <col min="10" max="10" width="5.5" style="341" customWidth="1"/>
    <col min="11" max="11" width="8.35156" style="341" customWidth="1"/>
    <col min="12" max="12" width="5.85156" style="341" customWidth="1"/>
    <col min="13" max="13" width="8.67188" style="341" customWidth="1"/>
    <col min="14" max="14" width="5.67188" style="341" customWidth="1"/>
    <col min="15" max="15" width="8.85156" style="341" customWidth="1"/>
    <col min="16" max="16" width="6" style="341" customWidth="1"/>
    <col min="17" max="17" width="8.5" style="341" customWidth="1"/>
    <col min="18" max="18" width="6" style="341" customWidth="1"/>
    <col min="19" max="19" width="8.85156" style="341" customWidth="1"/>
    <col min="20" max="20" width="5.85156" style="341" customWidth="1"/>
    <col min="21" max="21" width="6.5" style="341" customWidth="1"/>
    <col min="22" max="22" width="5.5" style="341" customWidth="1"/>
    <col min="23" max="23" width="6.67188" style="341" customWidth="1"/>
    <col min="24" max="24" width="5.67188" style="341" customWidth="1"/>
    <col min="25" max="25" width="7.5" style="341" customWidth="1"/>
    <col min="26" max="26" width="6.85156" style="341" customWidth="1"/>
    <col min="27" max="27" width="6.67188" style="341" customWidth="1"/>
    <col min="28" max="28" width="5.5" style="341" customWidth="1"/>
    <col min="29" max="29" width="7.5" style="341" customWidth="1"/>
    <col min="30" max="30" width="13.3516" style="341" customWidth="1"/>
    <col min="31" max="31" width="14.1719" style="341" customWidth="1"/>
    <col min="32" max="32" width="9.17188" style="341" customWidth="1"/>
    <col min="33" max="16384" width="9.17188" style="341" customWidth="1"/>
  </cols>
  <sheetData>
    <row r="1" ht="24.75" customHeight="1">
      <c r="A1" t="s" s="268">
        <v>657</v>
      </c>
      <c r="B1" s="269"/>
      <c r="C1" s="320"/>
      <c r="D1" s="320"/>
      <c r="E1" s="270"/>
      <c r="F1" s="270"/>
      <c r="G1" s="270"/>
      <c r="H1" s="270"/>
      <c r="I1" s="270"/>
      <c r="J1" s="270"/>
      <c r="K1" s="270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321"/>
      <c r="AE1" s="273"/>
      <c r="AF1" s="7"/>
    </row>
    <row r="2" ht="16.5" customHeight="1">
      <c r="A2" t="s" s="342">
        <v>1</v>
      </c>
      <c r="B2" t="s" s="8">
        <v>2</v>
      </c>
      <c r="C2" s="289"/>
      <c r="D2" s="289"/>
      <c r="E2" s="274"/>
      <c r="F2" s="275">
        <v>46113</v>
      </c>
      <c r="G2" s="276"/>
      <c r="H2" s="275">
        <v>46143</v>
      </c>
      <c r="I2" s="276"/>
      <c r="J2" s="275">
        <v>46174</v>
      </c>
      <c r="K2" s="276"/>
      <c r="L2" s="275">
        <v>46204</v>
      </c>
      <c r="M2" s="276"/>
      <c r="N2" s="275">
        <v>46235</v>
      </c>
      <c r="O2" s="276"/>
      <c r="P2" s="275">
        <v>46266</v>
      </c>
      <c r="Q2" s="276"/>
      <c r="R2" s="275">
        <v>46296</v>
      </c>
      <c r="S2" s="276"/>
      <c r="T2" s="275">
        <v>46327</v>
      </c>
      <c r="U2" s="276"/>
      <c r="V2" s="275">
        <v>46357</v>
      </c>
      <c r="W2" s="276"/>
      <c r="X2" s="275">
        <v>46388</v>
      </c>
      <c r="Y2" s="276"/>
      <c r="Z2" s="275">
        <v>46419</v>
      </c>
      <c r="AA2" s="276"/>
      <c r="AB2" s="275">
        <v>46447</v>
      </c>
      <c r="AC2" s="276"/>
      <c r="AD2" t="s" s="323">
        <v>3</v>
      </c>
      <c r="AE2" s="177"/>
      <c r="AF2" s="7"/>
    </row>
    <row r="3" ht="13.75" customHeight="1">
      <c r="A3" s="136">
        <v>1</v>
      </c>
      <c r="B3" t="s" s="15">
        <v>658</v>
      </c>
      <c r="C3" s="9"/>
      <c r="D3" s="9"/>
      <c r="E3" t="s" s="8">
        <v>5</v>
      </c>
      <c r="F3" t="s" s="8">
        <v>6</v>
      </c>
      <c r="G3" s="16">
        <v>1159</v>
      </c>
      <c r="H3" t="s" s="8">
        <v>6</v>
      </c>
      <c r="I3" s="16">
        <v>3248</v>
      </c>
      <c r="J3" t="s" s="8">
        <v>6</v>
      </c>
      <c r="K3" s="18"/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8">
        <v>6</v>
      </c>
      <c r="Y3" s="18"/>
      <c r="Z3" t="s" s="8">
        <v>6</v>
      </c>
      <c r="AA3" s="18"/>
      <c r="AB3" t="s" s="8">
        <v>6</v>
      </c>
      <c r="AC3" s="18"/>
      <c r="AD3" s="180"/>
      <c r="AE3" s="177"/>
      <c r="AF3" s="7"/>
    </row>
    <row r="4" ht="13.55" customHeight="1">
      <c r="A4" s="137"/>
      <c r="B4" s="27"/>
      <c r="C4" s="27"/>
      <c r="D4" s="27"/>
      <c r="E4" s="9"/>
      <c r="F4" t="s" s="8">
        <v>8</v>
      </c>
      <c r="G4" s="26">
        <v>1400</v>
      </c>
      <c r="H4" t="s" s="8">
        <v>8</v>
      </c>
      <c r="I4" s="26">
        <v>1400</v>
      </c>
      <c r="J4" t="s" s="8">
        <v>8</v>
      </c>
      <c r="K4" s="27"/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7"/>
      <c r="Z4" t="s" s="8">
        <v>8</v>
      </c>
      <c r="AA4" s="27"/>
      <c r="AB4" t="s" s="8">
        <v>8</v>
      </c>
      <c r="AC4" s="27"/>
      <c r="AD4" s="182" cm="1">
        <f t="array" ref="AD4">G4+I4+K4+M4+O4+Q4+S4+U4+W4+Y4+AA4+AC4</f>
        <v>2800</v>
      </c>
      <c r="AE4" s="183" cm="1">
        <f t="array" ref="AE4">1300*12</f>
        <v>15600</v>
      </c>
      <c r="AF4" s="51" cm="1">
        <f t="array" ref="AF4">AE4-AD4</f>
        <v>12800</v>
      </c>
    </row>
    <row r="5" ht="13.55" customHeight="1">
      <c r="A5" s="137"/>
      <c r="B5" s="343"/>
      <c r="C5" t="s" s="344">
        <v>9</v>
      </c>
      <c r="D5" s="345">
        <v>1000</v>
      </c>
      <c r="E5" s="9"/>
      <c r="F5" t="s" s="8">
        <v>10</v>
      </c>
      <c r="G5" t="s" s="33">
        <v>70</v>
      </c>
      <c r="H5" t="s" s="8">
        <v>10</v>
      </c>
      <c r="I5" t="s" s="33">
        <v>64</v>
      </c>
      <c r="J5" t="s" s="8">
        <v>10</v>
      </c>
      <c r="K5" s="34"/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s="34"/>
      <c r="Z5" t="s" s="8">
        <v>10</v>
      </c>
      <c r="AA5" s="34"/>
      <c r="AB5" t="s" s="8">
        <v>10</v>
      </c>
      <c r="AC5" s="34"/>
      <c r="AD5" s="180"/>
      <c r="AE5" s="177"/>
      <c r="AF5" s="7"/>
    </row>
    <row r="6" ht="10.6" customHeight="1">
      <c r="A6" s="137"/>
      <c r="B6" t="s" s="8">
        <v>659</v>
      </c>
      <c r="C6" s="9"/>
      <c r="D6" s="9"/>
      <c r="E6" t="s" s="8">
        <v>14</v>
      </c>
      <c r="F6" t="s" s="8">
        <v>6</v>
      </c>
      <c r="G6" s="16">
        <v>2075</v>
      </c>
      <c r="H6" t="s" s="8">
        <v>6</v>
      </c>
      <c r="I6" t="s" s="346">
        <v>660</v>
      </c>
      <c r="J6" t="s" s="8">
        <v>6</v>
      </c>
      <c r="K6" s="40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8">
        <v>6</v>
      </c>
      <c r="Y6" s="18"/>
      <c r="Z6" t="s" s="8">
        <v>6</v>
      </c>
      <c r="AA6" s="18"/>
      <c r="AB6" t="s" s="8">
        <v>6</v>
      </c>
      <c r="AC6" s="18"/>
      <c r="AD6" s="180"/>
      <c r="AE6" s="177"/>
      <c r="AF6" s="7"/>
    </row>
    <row r="7" ht="13.75" customHeight="1">
      <c r="A7" s="137"/>
      <c r="B7" t="s" s="8">
        <v>661</v>
      </c>
      <c r="C7" s="9"/>
      <c r="D7" s="9"/>
      <c r="E7" s="9"/>
      <c r="F7" t="s" s="8">
        <v>8</v>
      </c>
      <c r="G7" s="26">
        <v>1200</v>
      </c>
      <c r="H7" t="s" s="8">
        <v>8</v>
      </c>
      <c r="I7" s="347"/>
      <c r="J7" t="s" s="8">
        <v>8</v>
      </c>
      <c r="K7" s="41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7"/>
      <c r="Z7" t="s" s="8">
        <v>8</v>
      </c>
      <c r="AA7" s="27"/>
      <c r="AB7" t="s" s="8">
        <v>8</v>
      </c>
      <c r="AC7" s="27"/>
      <c r="AD7" s="182" cm="1">
        <f t="array" ref="AD7">G7+I7+K7+M7+O7+Q7+S7+U7+W7+Y7+AA7+AC7</f>
        <v>1200</v>
      </c>
      <c r="AE7" s="183" cm="1">
        <f t="array" ref="AE7">1100*11</f>
        <v>12100</v>
      </c>
      <c r="AF7" s="51" cm="1">
        <f t="array" ref="AF7">AE7-AD7</f>
        <v>10900</v>
      </c>
    </row>
    <row r="8" ht="13.75" customHeight="1">
      <c r="A8" s="137"/>
      <c r="B8" s="9"/>
      <c r="C8" s="9"/>
      <c r="D8" s="9"/>
      <c r="E8" s="9"/>
      <c r="F8" t="s" s="8">
        <v>10</v>
      </c>
      <c r="G8" t="s" s="33">
        <v>70</v>
      </c>
      <c r="H8" t="s" s="8">
        <v>10</v>
      </c>
      <c r="I8" s="348"/>
      <c r="J8" t="s" s="8">
        <v>10</v>
      </c>
      <c r="K8" s="45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s="34"/>
      <c r="Z8" t="s" s="8">
        <v>10</v>
      </c>
      <c r="AA8" s="34"/>
      <c r="AB8" t="s" s="8">
        <v>10</v>
      </c>
      <c r="AC8" s="34"/>
      <c r="AD8" s="180"/>
      <c r="AE8" s="177"/>
      <c r="AF8" s="7"/>
    </row>
    <row r="9" ht="13.55" customHeight="1">
      <c r="A9" s="9"/>
      <c r="B9" s="9"/>
      <c r="C9" s="9"/>
      <c r="D9" s="9"/>
      <c r="E9" s="9"/>
      <c r="F9" s="9"/>
      <c r="G9" s="27"/>
      <c r="H9" s="9"/>
      <c r="I9" s="9"/>
      <c r="J9" s="9"/>
      <c r="K9" s="23"/>
      <c r="L9" s="9"/>
      <c r="M9" s="34"/>
      <c r="N9" s="9"/>
      <c r="O9" s="34"/>
      <c r="P9" s="9"/>
      <c r="Q9" s="3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80"/>
      <c r="AE9" s="177"/>
      <c r="AF9" s="7"/>
    </row>
    <row r="10" ht="13.75" customHeight="1">
      <c r="A10" s="136">
        <v>2</v>
      </c>
      <c r="B10" t="s" s="15">
        <v>662</v>
      </c>
      <c r="C10" s="9"/>
      <c r="D10" s="9"/>
      <c r="E10" t="s" s="8">
        <v>5</v>
      </c>
      <c r="F10" t="s" s="8">
        <v>6</v>
      </c>
      <c r="G10" s="16">
        <v>1142</v>
      </c>
      <c r="H10" t="s" s="8">
        <v>6</v>
      </c>
      <c r="I10" s="16">
        <v>3221</v>
      </c>
      <c r="J10" t="s" s="8">
        <v>6</v>
      </c>
      <c r="K10" s="18"/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8"/>
      <c r="Z10" t="s" s="8">
        <v>6</v>
      </c>
      <c r="AA10" s="18"/>
      <c r="AB10" t="s" s="8">
        <v>6</v>
      </c>
      <c r="AC10" s="18"/>
      <c r="AD10" s="180"/>
      <c r="AE10" s="177"/>
      <c r="AF10" s="7"/>
    </row>
    <row r="11" ht="13.55" customHeight="1">
      <c r="A11" s="137"/>
      <c r="B11" s="27"/>
      <c r="C11" s="27"/>
      <c r="D11" s="27"/>
      <c r="E11" s="9"/>
      <c r="F11" t="s" s="8">
        <v>8</v>
      </c>
      <c r="G11" s="26">
        <v>1400</v>
      </c>
      <c r="H11" t="s" s="8">
        <v>8</v>
      </c>
      <c r="I11" s="26">
        <v>1400</v>
      </c>
      <c r="J11" t="s" s="8">
        <v>8</v>
      </c>
      <c r="K11" s="27"/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8">
        <v>8</v>
      </c>
      <c r="AA11" s="27"/>
      <c r="AB11" t="s" s="8">
        <v>8</v>
      </c>
      <c r="AC11" s="27"/>
      <c r="AD11" s="182" cm="1">
        <f t="array" ref="AD11">G11+I11+K11+M11+O11+Q11+S11+U11+W11+Y11+AA11+AC11</f>
        <v>2800</v>
      </c>
      <c r="AE11" s="183" cm="1">
        <f t="array" ref="AE11">1300*12</f>
        <v>15600</v>
      </c>
      <c r="AF11" s="51" cm="1">
        <f t="array" ref="AF11">AE11-AD11</f>
        <v>12800</v>
      </c>
    </row>
    <row r="12" ht="13.55" customHeight="1">
      <c r="A12" s="137"/>
      <c r="B12" s="27"/>
      <c r="C12" t="s" s="8">
        <v>9</v>
      </c>
      <c r="D12" s="26">
        <v>1000</v>
      </c>
      <c r="E12" s="9"/>
      <c r="F12" t="s" s="8">
        <v>10</v>
      </c>
      <c r="G12" t="s" s="33">
        <v>31</v>
      </c>
      <c r="H12" t="s" s="8">
        <v>10</v>
      </c>
      <c r="I12" t="s" s="33">
        <v>55</v>
      </c>
      <c r="J12" t="s" s="8">
        <v>10</v>
      </c>
      <c r="K12" s="34"/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8">
        <v>10</v>
      </c>
      <c r="AA12" s="34"/>
      <c r="AB12" t="s" s="8">
        <v>10</v>
      </c>
      <c r="AC12" s="34"/>
      <c r="AD12" s="180"/>
      <c r="AE12" s="177"/>
      <c r="AF12" s="7"/>
    </row>
    <row r="13" ht="13.55" customHeight="1">
      <c r="A13" s="137"/>
      <c r="B13" t="s" s="8">
        <v>663</v>
      </c>
      <c r="C13" s="9"/>
      <c r="D13" s="9"/>
      <c r="E13" t="s" s="8">
        <v>14</v>
      </c>
      <c r="F13" t="s" s="8">
        <v>6</v>
      </c>
      <c r="G13" s="40"/>
      <c r="H13" t="s" s="8">
        <v>6</v>
      </c>
      <c r="I13" s="40"/>
      <c r="J13" t="s" s="8">
        <v>6</v>
      </c>
      <c r="K13" s="40"/>
      <c r="L13" t="s" s="8">
        <v>6</v>
      </c>
      <c r="M13" s="40"/>
      <c r="N13" t="s" s="8">
        <v>6</v>
      </c>
      <c r="O13" s="23"/>
      <c r="P13" t="s" s="8">
        <v>6</v>
      </c>
      <c r="Q13" s="23"/>
      <c r="R13" t="s" s="8">
        <v>6</v>
      </c>
      <c r="S13" s="40"/>
      <c r="T13" t="s" s="8">
        <v>6</v>
      </c>
      <c r="U13" s="40"/>
      <c r="V13" t="s" s="8">
        <v>6</v>
      </c>
      <c r="W13" s="40"/>
      <c r="X13" t="s" s="8">
        <v>6</v>
      </c>
      <c r="Y13" s="9"/>
      <c r="Z13" t="s" s="8">
        <v>6</v>
      </c>
      <c r="AA13" s="9"/>
      <c r="AB13" t="s" s="8">
        <v>6</v>
      </c>
      <c r="AC13" s="9"/>
      <c r="AD13" s="180"/>
      <c r="AE13" s="177"/>
      <c r="AF13" s="7"/>
    </row>
    <row r="14" ht="13.55" customHeight="1">
      <c r="A14" s="137"/>
      <c r="B14" t="s" s="8">
        <v>664</v>
      </c>
      <c r="C14" s="9"/>
      <c r="D14" s="9"/>
      <c r="E14" s="9"/>
      <c r="F14" t="s" s="8">
        <v>8</v>
      </c>
      <c r="G14" s="41"/>
      <c r="H14" t="s" s="8">
        <v>8</v>
      </c>
      <c r="I14" s="41"/>
      <c r="J14" t="s" s="8">
        <v>8</v>
      </c>
      <c r="K14" s="41"/>
      <c r="L14" t="s" s="8">
        <v>8</v>
      </c>
      <c r="M14" s="41"/>
      <c r="N14" t="s" s="8">
        <v>8</v>
      </c>
      <c r="O14" s="27"/>
      <c r="P14" t="s" s="8">
        <v>8</v>
      </c>
      <c r="Q14" s="27"/>
      <c r="R14" t="s" s="8">
        <v>8</v>
      </c>
      <c r="S14" s="41"/>
      <c r="T14" t="s" s="8">
        <v>8</v>
      </c>
      <c r="U14" s="41"/>
      <c r="V14" t="s" s="8">
        <v>8</v>
      </c>
      <c r="W14" s="41"/>
      <c r="X14" t="s" s="8">
        <v>8</v>
      </c>
      <c r="Y14" s="9"/>
      <c r="Z14" t="s" s="8">
        <v>8</v>
      </c>
      <c r="AA14" s="9"/>
      <c r="AB14" t="s" s="8">
        <v>8</v>
      </c>
      <c r="AC14" s="9"/>
      <c r="AD14" s="180" cm="1">
        <f t="array" ref="AD14">G14+I14+K14+M14+O14+Q14+S14+U14+W14+Y14+AA14+AC14</f>
      </c>
      <c r="AE14" s="177"/>
      <c r="AF14" s="7"/>
    </row>
    <row r="15" ht="13.55" customHeight="1">
      <c r="A15" s="137"/>
      <c r="B15" s="9"/>
      <c r="C15" s="9"/>
      <c r="D15" s="9"/>
      <c r="E15" s="9"/>
      <c r="F15" t="s" s="8">
        <v>10</v>
      </c>
      <c r="G15" s="45"/>
      <c r="H15" t="s" s="8">
        <v>10</v>
      </c>
      <c r="I15" s="45"/>
      <c r="J15" t="s" s="8">
        <v>10</v>
      </c>
      <c r="K15" s="45"/>
      <c r="L15" t="s" s="8">
        <v>10</v>
      </c>
      <c r="M15" s="45"/>
      <c r="N15" t="s" s="8">
        <v>10</v>
      </c>
      <c r="O15" s="34"/>
      <c r="P15" t="s" s="8">
        <v>10</v>
      </c>
      <c r="Q15" s="34"/>
      <c r="R15" t="s" s="8">
        <v>10</v>
      </c>
      <c r="S15" s="45"/>
      <c r="T15" t="s" s="8">
        <v>10</v>
      </c>
      <c r="U15" s="45"/>
      <c r="V15" t="s" s="8">
        <v>10</v>
      </c>
      <c r="W15" s="45"/>
      <c r="X15" t="s" s="8">
        <v>10</v>
      </c>
      <c r="Y15" s="9"/>
      <c r="Z15" t="s" s="8">
        <v>10</v>
      </c>
      <c r="AA15" s="9"/>
      <c r="AB15" t="s" s="8">
        <v>10</v>
      </c>
      <c r="AC15" s="9"/>
      <c r="AD15" s="180"/>
      <c r="AE15" s="177"/>
      <c r="AF15" s="7"/>
    </row>
    <row r="16" ht="13.55" customHeight="1">
      <c r="A16" s="9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80"/>
      <c r="AE16" s="177"/>
      <c r="AF16" s="7"/>
    </row>
    <row r="17" ht="13.75" customHeight="1">
      <c r="A17" s="136">
        <v>3</v>
      </c>
      <c r="B17" t="s" s="15">
        <v>665</v>
      </c>
      <c r="C17" s="9"/>
      <c r="D17" s="9"/>
      <c r="E17" t="s" s="8">
        <v>5</v>
      </c>
      <c r="F17" t="s" s="8">
        <v>6</v>
      </c>
      <c r="G17" s="16">
        <v>1132</v>
      </c>
      <c r="H17" t="s" s="8">
        <v>6</v>
      </c>
      <c r="I17" s="16">
        <v>3184</v>
      </c>
      <c r="J17" t="s" s="8">
        <v>6</v>
      </c>
      <c r="K17" s="18"/>
      <c r="L17" t="s" s="8">
        <v>6</v>
      </c>
      <c r="M17" s="18"/>
      <c r="N17" t="s" s="8">
        <v>6</v>
      </c>
      <c r="O17" s="18"/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8">
        <v>6</v>
      </c>
      <c r="Y17" s="18"/>
      <c r="Z17" t="s" s="8">
        <v>6</v>
      </c>
      <c r="AA17" s="18"/>
      <c r="AB17" t="s" s="8">
        <v>6</v>
      </c>
      <c r="AC17" s="18"/>
      <c r="AD17" s="180"/>
      <c r="AE17" s="177"/>
      <c r="AF17" s="7"/>
    </row>
    <row r="18" ht="13.55" customHeight="1">
      <c r="A18" s="137"/>
      <c r="B18" s="27"/>
      <c r="C18" s="27"/>
      <c r="D18" s="27"/>
      <c r="E18" s="9"/>
      <c r="F18" t="s" s="8">
        <v>8</v>
      </c>
      <c r="G18" s="26">
        <v>1400</v>
      </c>
      <c r="H18" t="s" s="8">
        <v>8</v>
      </c>
      <c r="I18" s="26">
        <v>1400</v>
      </c>
      <c r="J18" t="s" s="8">
        <v>8</v>
      </c>
      <c r="K18" s="27"/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7"/>
      <c r="Z18" t="s" s="8">
        <v>8</v>
      </c>
      <c r="AA18" s="27"/>
      <c r="AB18" t="s" s="8">
        <v>8</v>
      </c>
      <c r="AC18" s="27"/>
      <c r="AD18" s="182" cm="1">
        <f t="array" ref="AD18">G18+I18+K18+M18+O18+Q18+S18+U18+W18+Y18+AA18+AC18</f>
        <v>2800</v>
      </c>
      <c r="AE18" s="183" cm="1">
        <f t="array" ref="AE18">1300*12</f>
        <v>15600</v>
      </c>
      <c r="AF18" s="51" cm="1">
        <f t="array" ref="AF18">AE18-AD18</f>
        <v>12800</v>
      </c>
    </row>
    <row r="19" ht="13.55" customHeight="1">
      <c r="A19" s="137"/>
      <c r="B19" s="27"/>
      <c r="C19" t="s" s="8">
        <v>9</v>
      </c>
      <c r="D19" s="26">
        <v>1000</v>
      </c>
      <c r="E19" s="9"/>
      <c r="F19" t="s" s="8">
        <v>10</v>
      </c>
      <c r="G19" t="s" s="33">
        <v>31</v>
      </c>
      <c r="H19" t="s" s="8">
        <v>10</v>
      </c>
      <c r="I19" t="s" s="33">
        <v>24</v>
      </c>
      <c r="J19" t="s" s="8">
        <v>10</v>
      </c>
      <c r="K19" s="34"/>
      <c r="L19" t="s" s="8">
        <v>10</v>
      </c>
      <c r="M19" s="34"/>
      <c r="N19" t="s" s="8">
        <v>10</v>
      </c>
      <c r="O19" s="34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s="34"/>
      <c r="Z19" t="s" s="8">
        <v>10</v>
      </c>
      <c r="AA19" s="34"/>
      <c r="AB19" t="s" s="8">
        <v>10</v>
      </c>
      <c r="AC19" s="34"/>
      <c r="AD19" s="180"/>
      <c r="AE19" s="177"/>
      <c r="AF19" s="7"/>
    </row>
    <row r="20" ht="13.75" customHeight="1">
      <c r="A20" s="137"/>
      <c r="B20" t="s" s="8">
        <v>666</v>
      </c>
      <c r="C20" s="9"/>
      <c r="D20" s="9"/>
      <c r="E20" t="s" s="8">
        <v>14</v>
      </c>
      <c r="F20" t="s" s="8">
        <v>6</v>
      </c>
      <c r="G20" s="16">
        <v>2055</v>
      </c>
      <c r="H20" t="s" s="8">
        <v>6</v>
      </c>
      <c r="I20" s="16">
        <v>2164</v>
      </c>
      <c r="J20" t="s" s="8">
        <v>6</v>
      </c>
      <c r="K20" s="40"/>
      <c r="L20" t="s" s="8">
        <v>6</v>
      </c>
      <c r="M20" s="18"/>
      <c r="N20" t="s" s="8">
        <v>6</v>
      </c>
      <c r="O20" s="18"/>
      <c r="P20" t="s" s="8">
        <v>6</v>
      </c>
      <c r="Q20" s="18"/>
      <c r="R20" t="s" s="8">
        <v>6</v>
      </c>
      <c r="S20" s="18"/>
      <c r="T20" t="s" s="8">
        <v>6</v>
      </c>
      <c r="U20" s="18"/>
      <c r="V20" t="s" s="8">
        <v>6</v>
      </c>
      <c r="W20" s="18"/>
      <c r="X20" t="s" s="8">
        <v>6</v>
      </c>
      <c r="Y20" s="18"/>
      <c r="Z20" t="s" s="8">
        <v>6</v>
      </c>
      <c r="AA20" s="18"/>
      <c r="AB20" t="s" s="8">
        <v>6</v>
      </c>
      <c r="AC20" s="18"/>
      <c r="AD20" s="180"/>
      <c r="AE20" s="177"/>
      <c r="AF20" s="7"/>
    </row>
    <row r="21" ht="13.55" customHeight="1">
      <c r="A21" s="137"/>
      <c r="B21" t="s" s="8">
        <v>667</v>
      </c>
      <c r="C21" s="9"/>
      <c r="D21" s="9"/>
      <c r="E21" s="9"/>
      <c r="F21" t="s" s="8">
        <v>8</v>
      </c>
      <c r="G21" s="26">
        <v>600</v>
      </c>
      <c r="H21" t="s" s="8">
        <v>8</v>
      </c>
      <c r="I21" s="26">
        <v>600</v>
      </c>
      <c r="J21" t="s" s="8">
        <v>8</v>
      </c>
      <c r="K21" s="41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8">
        <v>8</v>
      </c>
      <c r="Y21" s="27"/>
      <c r="Z21" t="s" s="8">
        <v>8</v>
      </c>
      <c r="AA21" s="27"/>
      <c r="AB21" t="s" s="8">
        <v>8</v>
      </c>
      <c r="AC21" s="27"/>
      <c r="AD21" s="180" cm="1">
        <f t="array" ref="AD21">G21+I21+K21+M21+O21+Q21+S21+U21+W21+Y21+AA21+AC21</f>
      </c>
      <c r="AE21" s="183" cm="1">
        <f t="array" ref="AE21">500*11</f>
        <v>5500</v>
      </c>
      <c r="AF21" s="7" cm="1">
        <f t="array" ref="AF21">AE21-AD21</f>
      </c>
    </row>
    <row r="22" ht="13.55" customHeight="1">
      <c r="A22" s="137"/>
      <c r="B22" s="9"/>
      <c r="C22" s="9"/>
      <c r="D22" s="9"/>
      <c r="E22" s="9"/>
      <c r="F22" t="s" s="8">
        <v>10</v>
      </c>
      <c r="G22" t="s" s="33">
        <v>31</v>
      </c>
      <c r="H22" t="s" s="8">
        <v>10</v>
      </c>
      <c r="I22" t="s" s="33">
        <v>24</v>
      </c>
      <c r="J22" t="s" s="8">
        <v>10</v>
      </c>
      <c r="K22" s="4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8">
        <v>10</v>
      </c>
      <c r="Y22" s="34"/>
      <c r="Z22" t="s" s="8">
        <v>10</v>
      </c>
      <c r="AA22" s="34"/>
      <c r="AB22" t="s" s="8">
        <v>10</v>
      </c>
      <c r="AC22" s="34"/>
      <c r="AD22" s="180"/>
      <c r="AE22" s="177"/>
      <c r="AF22" s="7"/>
    </row>
    <row r="23" ht="13.55" customHeight="1">
      <c r="A23" s="9"/>
      <c r="B23" s="9"/>
      <c r="C23" s="9"/>
      <c r="D23" s="9"/>
      <c r="E23" s="9"/>
      <c r="F23" s="9"/>
      <c r="G23" s="27"/>
      <c r="H23" s="9"/>
      <c r="I23" s="34"/>
      <c r="J23" s="9"/>
      <c r="K23" s="23"/>
      <c r="L23" s="9"/>
      <c r="M23" s="34"/>
      <c r="N23" s="9"/>
      <c r="O23" s="34"/>
      <c r="P23" s="9"/>
      <c r="Q23" s="34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80"/>
      <c r="AE23" s="177"/>
      <c r="AF23" s="7"/>
    </row>
    <row r="24" ht="13.75" customHeight="1">
      <c r="A24" s="136">
        <v>4</v>
      </c>
      <c r="B24" t="s" s="15">
        <v>668</v>
      </c>
      <c r="C24" s="9"/>
      <c r="D24" s="9"/>
      <c r="E24" t="s" s="8">
        <v>5</v>
      </c>
      <c r="F24" t="s" s="8">
        <v>6</v>
      </c>
      <c r="G24" s="16">
        <v>1226</v>
      </c>
      <c r="H24" t="s" s="8">
        <v>6</v>
      </c>
      <c r="I24" s="18"/>
      <c r="J24" t="s" s="8">
        <v>6</v>
      </c>
      <c r="K24" s="18"/>
      <c r="L24" t="s" s="8">
        <v>6</v>
      </c>
      <c r="M24" s="18"/>
      <c r="N24" t="s" s="8">
        <v>6</v>
      </c>
      <c r="O24" s="18"/>
      <c r="P24" t="s" s="8">
        <v>6</v>
      </c>
      <c r="Q24" s="18"/>
      <c r="R24" t="s" s="8">
        <v>6</v>
      </c>
      <c r="S24" s="18"/>
      <c r="T24" t="s" s="8">
        <v>6</v>
      </c>
      <c r="U24" s="18"/>
      <c r="V24" t="s" s="8">
        <v>6</v>
      </c>
      <c r="W24" s="18"/>
      <c r="X24" t="s" s="8">
        <v>6</v>
      </c>
      <c r="Y24" s="18"/>
      <c r="Z24" t="s" s="8">
        <v>6</v>
      </c>
      <c r="AA24" s="18"/>
      <c r="AB24" t="s" s="8">
        <v>6</v>
      </c>
      <c r="AC24" s="18"/>
      <c r="AD24" s="180"/>
      <c r="AE24" s="177"/>
      <c r="AF24" s="7"/>
    </row>
    <row r="25" ht="13.55" customHeight="1">
      <c r="A25" s="137"/>
      <c r="B25" s="27"/>
      <c r="C25" s="27"/>
      <c r="D25" s="27"/>
      <c r="E25" s="9"/>
      <c r="F25" t="s" s="8">
        <v>8</v>
      </c>
      <c r="G25" s="26">
        <v>1400</v>
      </c>
      <c r="H25" t="s" s="8">
        <v>8</v>
      </c>
      <c r="I25" s="27"/>
      <c r="J25" t="s" s="8">
        <v>8</v>
      </c>
      <c r="K25" s="27"/>
      <c r="L25" t="s" s="8">
        <v>8</v>
      </c>
      <c r="M25" s="27"/>
      <c r="N25" t="s" s="8">
        <v>8</v>
      </c>
      <c r="O25" s="27"/>
      <c r="P25" t="s" s="8">
        <v>8</v>
      </c>
      <c r="Q25" s="27"/>
      <c r="R25" t="s" s="8">
        <v>8</v>
      </c>
      <c r="S25" s="27"/>
      <c r="T25" t="s" s="8">
        <v>8</v>
      </c>
      <c r="U25" s="27"/>
      <c r="V25" t="s" s="8">
        <v>8</v>
      </c>
      <c r="W25" s="27"/>
      <c r="X25" t="s" s="8">
        <v>8</v>
      </c>
      <c r="Y25" s="27"/>
      <c r="Z25" t="s" s="8">
        <v>8</v>
      </c>
      <c r="AA25" s="27"/>
      <c r="AB25" t="s" s="8">
        <v>8</v>
      </c>
      <c r="AC25" s="27"/>
      <c r="AD25" s="182" cm="1">
        <f t="array" ref="AD25">G25+I25+K25+M25+O25+Q25+S25+U25+W25+Y25+AA25+AC25</f>
        <v>1400</v>
      </c>
      <c r="AE25" s="183" cm="1">
        <f t="array" ref="AE25">1300*12</f>
        <v>15600</v>
      </c>
      <c r="AF25" s="51" cm="1">
        <f t="array" ref="AF25">AE25-AD25</f>
        <v>14200</v>
      </c>
    </row>
    <row r="26" ht="13.55" customHeight="1">
      <c r="A26" s="137"/>
      <c r="B26" s="27"/>
      <c r="C26" t="s" s="8">
        <v>9</v>
      </c>
      <c r="D26" s="26">
        <v>1000</v>
      </c>
      <c r="E26" s="9"/>
      <c r="F26" t="s" s="8">
        <v>10</v>
      </c>
      <c r="G26" t="s" s="33">
        <v>47</v>
      </c>
      <c r="H26" t="s" s="8">
        <v>10</v>
      </c>
      <c r="I26" s="34"/>
      <c r="J26" t="s" s="8">
        <v>10</v>
      </c>
      <c r="K26" s="34"/>
      <c r="L26" t="s" s="8">
        <v>10</v>
      </c>
      <c r="M26" s="34"/>
      <c r="N26" t="s" s="8">
        <v>10</v>
      </c>
      <c r="O26" s="34"/>
      <c r="P26" t="s" s="8">
        <v>10</v>
      </c>
      <c r="Q26" s="34"/>
      <c r="R26" t="s" s="8">
        <v>10</v>
      </c>
      <c r="S26" s="34"/>
      <c r="T26" t="s" s="8">
        <v>10</v>
      </c>
      <c r="U26" s="34"/>
      <c r="V26" t="s" s="8">
        <v>10</v>
      </c>
      <c r="W26" s="34"/>
      <c r="X26" t="s" s="8">
        <v>10</v>
      </c>
      <c r="Y26" s="34"/>
      <c r="Z26" t="s" s="8">
        <v>10</v>
      </c>
      <c r="AA26" s="34"/>
      <c r="AB26" t="s" s="8">
        <v>10</v>
      </c>
      <c r="AC26" s="34"/>
      <c r="AD26" s="180"/>
      <c r="AE26" s="177"/>
      <c r="AF26" s="7"/>
    </row>
    <row r="27" ht="13.55" customHeight="1">
      <c r="A27" s="137"/>
      <c r="B27" t="s" s="8">
        <v>669</v>
      </c>
      <c r="C27" s="9"/>
      <c r="D27" s="9"/>
      <c r="E27" t="s" s="8">
        <v>14</v>
      </c>
      <c r="F27" t="s" s="8">
        <v>6</v>
      </c>
      <c r="G27" s="27"/>
      <c r="H27" t="s" s="8">
        <v>6</v>
      </c>
      <c r="I27" s="23"/>
      <c r="J27" t="s" s="8">
        <v>6</v>
      </c>
      <c r="K27" s="27"/>
      <c r="L27" t="s" s="8">
        <v>6</v>
      </c>
      <c r="M27" s="23"/>
      <c r="N27" t="s" s="8">
        <v>6</v>
      </c>
      <c r="O27" s="23"/>
      <c r="P27" t="s" s="8">
        <v>6</v>
      </c>
      <c r="Q27" s="23"/>
      <c r="R27" t="s" s="8">
        <v>6</v>
      </c>
      <c r="S27" s="9"/>
      <c r="T27" t="s" s="8">
        <v>6</v>
      </c>
      <c r="U27" s="9"/>
      <c r="V27" t="s" s="8">
        <v>6</v>
      </c>
      <c r="W27" s="9"/>
      <c r="X27" t="s" s="8">
        <v>6</v>
      </c>
      <c r="Y27" s="9"/>
      <c r="Z27" t="s" s="8">
        <v>6</v>
      </c>
      <c r="AA27" s="9"/>
      <c r="AB27" t="s" s="8">
        <v>6</v>
      </c>
      <c r="AC27" s="9"/>
      <c r="AD27" s="180"/>
      <c r="AE27" s="177"/>
      <c r="AF27" s="7"/>
    </row>
    <row r="28" ht="13.55" customHeight="1">
      <c r="A28" s="137"/>
      <c r="B28" t="s" s="8">
        <v>670</v>
      </c>
      <c r="C28" s="9"/>
      <c r="D28" s="9"/>
      <c r="E28" s="9"/>
      <c r="F28" t="s" s="8">
        <v>8</v>
      </c>
      <c r="G28" s="27"/>
      <c r="H28" t="s" s="8">
        <v>8</v>
      </c>
      <c r="I28" s="27"/>
      <c r="J28" t="s" s="8">
        <v>8</v>
      </c>
      <c r="K28" s="27"/>
      <c r="L28" t="s" s="8">
        <v>8</v>
      </c>
      <c r="M28" s="27"/>
      <c r="N28" t="s" s="8">
        <v>8</v>
      </c>
      <c r="O28" s="27"/>
      <c r="P28" t="s" s="8">
        <v>8</v>
      </c>
      <c r="Q28" s="27"/>
      <c r="R28" t="s" s="8">
        <v>8</v>
      </c>
      <c r="S28" s="9"/>
      <c r="T28" t="s" s="8">
        <v>8</v>
      </c>
      <c r="U28" s="9"/>
      <c r="V28" t="s" s="8">
        <v>8</v>
      </c>
      <c r="W28" s="9"/>
      <c r="X28" t="s" s="8">
        <v>8</v>
      </c>
      <c r="Y28" s="9"/>
      <c r="Z28" t="s" s="8">
        <v>8</v>
      </c>
      <c r="AA28" s="9"/>
      <c r="AB28" t="s" s="8">
        <v>8</v>
      </c>
      <c r="AC28" s="9"/>
      <c r="AD28" s="182" cm="1">
        <f t="array" ref="AD28">G28+I28+K28+M28+O28+Q28+S28+U28+W28+Y28+AA28+AC28</f>
        <v>0</v>
      </c>
      <c r="AE28" s="177"/>
      <c r="AF28" s="7"/>
    </row>
    <row r="29" ht="13.55" customHeight="1">
      <c r="A29" s="137"/>
      <c r="B29" s="9"/>
      <c r="C29" s="9"/>
      <c r="D29" s="9"/>
      <c r="E29" s="9"/>
      <c r="F29" t="s" s="8">
        <v>10</v>
      </c>
      <c r="G29" s="27"/>
      <c r="H29" t="s" s="8">
        <v>10</v>
      </c>
      <c r="I29" s="34"/>
      <c r="J29" t="s" s="8">
        <v>10</v>
      </c>
      <c r="K29" s="27"/>
      <c r="L29" t="s" s="8">
        <v>10</v>
      </c>
      <c r="M29" s="34"/>
      <c r="N29" t="s" s="8">
        <v>10</v>
      </c>
      <c r="O29" s="34"/>
      <c r="P29" t="s" s="8">
        <v>10</v>
      </c>
      <c r="Q29" s="34"/>
      <c r="R29" t="s" s="8">
        <v>10</v>
      </c>
      <c r="S29" s="9"/>
      <c r="T29" t="s" s="8">
        <v>10</v>
      </c>
      <c r="U29" s="9"/>
      <c r="V29" t="s" s="8">
        <v>10</v>
      </c>
      <c r="W29" s="9"/>
      <c r="X29" t="s" s="8">
        <v>10</v>
      </c>
      <c r="Y29" s="9"/>
      <c r="Z29" t="s" s="8">
        <v>10</v>
      </c>
      <c r="AA29" s="9"/>
      <c r="AB29" t="s" s="8">
        <v>10</v>
      </c>
      <c r="AC29" s="9"/>
      <c r="AD29" s="180"/>
      <c r="AE29" s="177"/>
      <c r="AF29" s="7"/>
    </row>
    <row r="30" ht="13.55" customHeight="1">
      <c r="A30" s="9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80"/>
      <c r="AE30" s="177"/>
      <c r="AF30" s="7"/>
    </row>
    <row r="31" ht="13.75" customHeight="1">
      <c r="A31" s="136">
        <v>5</v>
      </c>
      <c r="B31" t="s" s="15">
        <v>671</v>
      </c>
      <c r="C31" s="9"/>
      <c r="D31" s="9"/>
      <c r="E31" t="s" s="8">
        <v>5</v>
      </c>
      <c r="F31" t="s" s="8">
        <v>6</v>
      </c>
      <c r="G31" s="16">
        <v>1102</v>
      </c>
      <c r="H31" t="s" s="8">
        <v>6</v>
      </c>
      <c r="I31" s="16">
        <v>1102</v>
      </c>
      <c r="J31" t="s" s="8">
        <v>6</v>
      </c>
      <c r="K31" s="18"/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8">
        <v>6</v>
      </c>
      <c r="AA31" s="18"/>
      <c r="AB31" t="s" s="8">
        <v>6</v>
      </c>
      <c r="AC31" s="18"/>
      <c r="AD31" s="180"/>
      <c r="AE31" s="177"/>
      <c r="AF31" s="7"/>
    </row>
    <row r="32" ht="13.55" customHeight="1">
      <c r="A32" s="137"/>
      <c r="B32" s="27"/>
      <c r="C32" s="27"/>
      <c r="D32" s="27"/>
      <c r="E32" s="9"/>
      <c r="F32" t="s" s="8">
        <v>8</v>
      </c>
      <c r="G32" s="26">
        <v>1400</v>
      </c>
      <c r="H32" t="s" s="8">
        <v>8</v>
      </c>
      <c r="I32" s="26">
        <v>1400</v>
      </c>
      <c r="J32" t="s" s="8">
        <v>8</v>
      </c>
      <c r="K32" s="27"/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8">
        <v>8</v>
      </c>
      <c r="AA32" s="27"/>
      <c r="AB32" t="s" s="8">
        <v>8</v>
      </c>
      <c r="AC32" s="27"/>
      <c r="AD32" s="182" cm="1">
        <f t="array" ref="AD32">G32+I32+K32+M32+O32+Q32+S32+U32+W32+Y32+AA32+AC32</f>
        <v>2800</v>
      </c>
      <c r="AE32" s="183" cm="1">
        <f t="array" ref="AE32">1300*12</f>
        <v>15600</v>
      </c>
      <c r="AF32" s="51" cm="1">
        <f t="array" ref="AF32">AE32-AD32</f>
        <v>12800</v>
      </c>
    </row>
    <row r="33" ht="13.55" customHeight="1">
      <c r="A33" s="137"/>
      <c r="B33" s="27"/>
      <c r="C33" t="s" s="8">
        <v>9</v>
      </c>
      <c r="D33" s="26">
        <v>1000</v>
      </c>
      <c r="E33" s="9"/>
      <c r="F33" t="s" s="8">
        <v>10</v>
      </c>
      <c r="G33" t="s" s="33">
        <v>23</v>
      </c>
      <c r="H33" t="s" s="8">
        <v>10</v>
      </c>
      <c r="I33" t="s" s="33">
        <v>23</v>
      </c>
      <c r="J33" t="s" s="8">
        <v>10</v>
      </c>
      <c r="K33" s="34"/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8">
        <v>10</v>
      </c>
      <c r="AA33" s="34"/>
      <c r="AB33" t="s" s="8">
        <v>10</v>
      </c>
      <c r="AC33" s="34"/>
      <c r="AD33" s="180"/>
      <c r="AE33" s="177"/>
      <c r="AF33" s="7"/>
    </row>
    <row r="34" ht="13.55" customHeight="1">
      <c r="A34" s="137"/>
      <c r="B34" t="s" s="8">
        <v>672</v>
      </c>
      <c r="C34" s="9"/>
      <c r="D34" s="9"/>
      <c r="E34" t="s" s="8">
        <v>14</v>
      </c>
      <c r="F34" t="s" s="8">
        <v>6</v>
      </c>
      <c r="G34" s="27"/>
      <c r="H34" t="s" s="8">
        <v>6</v>
      </c>
      <c r="I34" s="27"/>
      <c r="J34" t="s" s="8">
        <v>6</v>
      </c>
      <c r="K34" s="27"/>
      <c r="L34" t="s" s="8">
        <v>6</v>
      </c>
      <c r="M34" s="349"/>
      <c r="N34" t="s" s="8">
        <v>6</v>
      </c>
      <c r="O34" s="9"/>
      <c r="P34" t="s" s="8">
        <v>6</v>
      </c>
      <c r="Q34" s="9"/>
      <c r="R34" t="s" s="8">
        <v>6</v>
      </c>
      <c r="S34" s="9"/>
      <c r="T34" t="s" s="8">
        <v>6</v>
      </c>
      <c r="U34" s="9"/>
      <c r="V34" t="s" s="8">
        <v>6</v>
      </c>
      <c r="W34" s="9"/>
      <c r="X34" t="s" s="8">
        <v>6</v>
      </c>
      <c r="Y34" s="9"/>
      <c r="Z34" t="s" s="8">
        <v>6</v>
      </c>
      <c r="AA34" s="9"/>
      <c r="AB34" t="s" s="8">
        <v>6</v>
      </c>
      <c r="AC34" s="9"/>
      <c r="AD34" s="180"/>
      <c r="AE34" s="177"/>
      <c r="AF34" s="7"/>
    </row>
    <row r="35" ht="13.55" customHeight="1">
      <c r="A35" s="137"/>
      <c r="B35" t="s" s="8">
        <v>673</v>
      </c>
      <c r="C35" s="9"/>
      <c r="D35" s="9"/>
      <c r="E35" s="9"/>
      <c r="F35" t="s" s="8">
        <v>8</v>
      </c>
      <c r="G35" s="27"/>
      <c r="H35" t="s" s="8">
        <v>8</v>
      </c>
      <c r="I35" s="27"/>
      <c r="J35" t="s" s="8">
        <v>8</v>
      </c>
      <c r="K35" s="27"/>
      <c r="L35" t="s" s="8">
        <v>8</v>
      </c>
      <c r="M35" s="9"/>
      <c r="N35" t="s" s="8">
        <v>8</v>
      </c>
      <c r="O35" s="9"/>
      <c r="P35" t="s" s="8">
        <v>8</v>
      </c>
      <c r="Q35" s="9"/>
      <c r="R35" t="s" s="8">
        <v>8</v>
      </c>
      <c r="S35" s="9"/>
      <c r="T35" t="s" s="8">
        <v>8</v>
      </c>
      <c r="U35" s="9"/>
      <c r="V35" t="s" s="8">
        <v>8</v>
      </c>
      <c r="W35" s="9"/>
      <c r="X35" t="s" s="8">
        <v>8</v>
      </c>
      <c r="Y35" s="9"/>
      <c r="Z35" t="s" s="8">
        <v>8</v>
      </c>
      <c r="AA35" s="9"/>
      <c r="AB35" t="s" s="8">
        <v>8</v>
      </c>
      <c r="AC35" s="9"/>
      <c r="AD35" s="182" cm="1">
        <f t="array" ref="AD35">G35+I35+K35+M35+O35+Q35+S35+U35+W35+Y35+AA35+AC35</f>
        <v>0</v>
      </c>
      <c r="AE35" s="177"/>
      <c r="AF35" s="7"/>
    </row>
    <row r="36" ht="13.55" customHeight="1">
      <c r="A36" s="137"/>
      <c r="B36" s="9"/>
      <c r="C36" s="9"/>
      <c r="D36" s="9"/>
      <c r="E36" s="9"/>
      <c r="F36" t="s" s="8">
        <v>10</v>
      </c>
      <c r="G36" s="27"/>
      <c r="H36" t="s" s="8">
        <v>10</v>
      </c>
      <c r="I36" s="27"/>
      <c r="J36" t="s" s="8">
        <v>10</v>
      </c>
      <c r="K36" s="27"/>
      <c r="L36" t="s" s="8">
        <v>10</v>
      </c>
      <c r="M36" s="9"/>
      <c r="N36" t="s" s="8">
        <v>10</v>
      </c>
      <c r="O36" s="9"/>
      <c r="P36" t="s" s="8">
        <v>10</v>
      </c>
      <c r="Q36" s="9"/>
      <c r="R36" t="s" s="8">
        <v>10</v>
      </c>
      <c r="S36" s="9"/>
      <c r="T36" t="s" s="8">
        <v>10</v>
      </c>
      <c r="U36" s="9"/>
      <c r="V36" t="s" s="8">
        <v>10</v>
      </c>
      <c r="W36" s="9"/>
      <c r="X36" t="s" s="8">
        <v>10</v>
      </c>
      <c r="Y36" s="9"/>
      <c r="Z36" t="s" s="8">
        <v>10</v>
      </c>
      <c r="AA36" s="9"/>
      <c r="AB36" t="s" s="8">
        <v>10</v>
      </c>
      <c r="AC36" s="9"/>
      <c r="AD36" s="180"/>
      <c r="AE36" s="177"/>
      <c r="AF36" s="7"/>
    </row>
    <row r="37" ht="13.55" customHeight="1">
      <c r="A37" s="9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80"/>
      <c r="AE37" s="177"/>
      <c r="AF37" s="7"/>
    </row>
    <row r="38" ht="13.75" customHeight="1">
      <c r="A38" s="136">
        <v>6</v>
      </c>
      <c r="B38" t="s" s="15">
        <v>674</v>
      </c>
      <c r="C38" s="9"/>
      <c r="D38" s="9"/>
      <c r="E38" t="s" s="8">
        <v>5</v>
      </c>
      <c r="F38" t="s" s="8">
        <v>6</v>
      </c>
      <c r="G38" s="16">
        <v>1059</v>
      </c>
      <c r="H38" t="s" s="8">
        <v>6</v>
      </c>
      <c r="I38" s="16">
        <v>1059</v>
      </c>
      <c r="J38" t="s" s="8">
        <v>6</v>
      </c>
      <c r="K38" s="16">
        <v>1059</v>
      </c>
      <c r="L38" t="s" s="8">
        <v>6</v>
      </c>
      <c r="M38" s="23"/>
      <c r="N38" t="s" s="8">
        <v>6</v>
      </c>
      <c r="O38" s="23"/>
      <c r="P38" t="s" s="8">
        <v>6</v>
      </c>
      <c r="Q38" s="23"/>
      <c r="R38" t="s" s="8">
        <v>6</v>
      </c>
      <c r="S38" s="23"/>
      <c r="T38" t="s" s="8">
        <v>6</v>
      </c>
      <c r="U38" s="23"/>
      <c r="V38" t="s" s="8">
        <v>6</v>
      </c>
      <c r="W38" s="23"/>
      <c r="X38" t="s" s="8">
        <v>6</v>
      </c>
      <c r="Y38" s="23"/>
      <c r="Z38" t="s" s="8">
        <v>6</v>
      </c>
      <c r="AA38" s="23"/>
      <c r="AB38" t="s" s="8">
        <v>6</v>
      </c>
      <c r="AC38" s="23"/>
      <c r="AD38" s="180"/>
      <c r="AE38" s="177"/>
      <c r="AF38" s="7"/>
    </row>
    <row r="39" ht="13.55" customHeight="1">
      <c r="A39" s="137"/>
      <c r="B39" s="27"/>
      <c r="C39" s="27"/>
      <c r="D39" s="27"/>
      <c r="E39" s="9"/>
      <c r="F39" t="s" s="8">
        <v>8</v>
      </c>
      <c r="G39" s="26">
        <v>1400</v>
      </c>
      <c r="H39" t="s" s="8">
        <v>8</v>
      </c>
      <c r="I39" s="26">
        <v>1400</v>
      </c>
      <c r="J39" t="s" s="8">
        <v>8</v>
      </c>
      <c r="K39" s="26">
        <v>1400</v>
      </c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8">
        <v>8</v>
      </c>
      <c r="AA39" s="27"/>
      <c r="AB39" t="s" s="8">
        <v>8</v>
      </c>
      <c r="AC39" s="27"/>
      <c r="AD39" s="182" cm="1">
        <f t="array" ref="AD39">G39+I39+K39+M39+O39+Q39+S39+U39+W39+Y39+AA39+AC39</f>
        <v>4200</v>
      </c>
      <c r="AE39" s="183" cm="1">
        <f t="array" ref="AE39">1300*12</f>
        <v>15600</v>
      </c>
      <c r="AF39" s="51" cm="1">
        <f t="array" ref="AF39">AE39-AD39</f>
        <v>11400</v>
      </c>
    </row>
    <row r="40" ht="13.55" customHeight="1">
      <c r="A40" s="137"/>
      <c r="B40" s="27"/>
      <c r="C40" t="s" s="8">
        <v>9</v>
      </c>
      <c r="D40" s="26">
        <v>1000</v>
      </c>
      <c r="E40" s="9"/>
      <c r="F40" t="s" s="8">
        <v>10</v>
      </c>
      <c r="G40" t="s" s="33">
        <v>159</v>
      </c>
      <c r="H40" t="s" s="8">
        <v>10</v>
      </c>
      <c r="I40" t="s" s="33">
        <v>159</v>
      </c>
      <c r="J40" t="s" s="8">
        <v>10</v>
      </c>
      <c r="K40" t="s" s="33">
        <v>159</v>
      </c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8">
        <v>10</v>
      </c>
      <c r="AA40" s="34"/>
      <c r="AB40" t="s" s="8">
        <v>10</v>
      </c>
      <c r="AC40" s="34"/>
      <c r="AD40" s="180"/>
      <c r="AE40" s="177"/>
      <c r="AF40" s="7"/>
    </row>
    <row r="41" ht="13.75" customHeight="1">
      <c r="A41" s="137"/>
      <c r="B41" t="s" s="8">
        <v>675</v>
      </c>
      <c r="C41" s="9"/>
      <c r="D41" s="9"/>
      <c r="E41" t="s" s="8">
        <v>14</v>
      </c>
      <c r="F41" t="s" s="8">
        <v>6</v>
      </c>
      <c r="G41" s="16">
        <v>2007</v>
      </c>
      <c r="H41" t="s" s="8">
        <v>6</v>
      </c>
      <c r="I41" s="16">
        <v>2007</v>
      </c>
      <c r="J41" t="s" s="8">
        <v>6</v>
      </c>
      <c r="K41" s="23"/>
      <c r="L41" t="s" s="8">
        <v>6</v>
      </c>
      <c r="M41" s="23"/>
      <c r="N41" t="s" s="8">
        <v>6</v>
      </c>
      <c r="O41" s="23"/>
      <c r="P41" t="s" s="8">
        <v>6</v>
      </c>
      <c r="Q41" s="23"/>
      <c r="R41" t="s" s="8">
        <v>6</v>
      </c>
      <c r="S41" s="23"/>
      <c r="T41" t="s" s="8">
        <v>6</v>
      </c>
      <c r="U41" s="23"/>
      <c r="V41" t="s" s="8">
        <v>6</v>
      </c>
      <c r="W41" s="23"/>
      <c r="X41" t="s" s="8">
        <v>6</v>
      </c>
      <c r="Y41" s="23"/>
      <c r="Z41" t="s" s="8">
        <v>6</v>
      </c>
      <c r="AA41" s="23"/>
      <c r="AB41" t="s" s="8">
        <v>6</v>
      </c>
      <c r="AC41" s="23"/>
      <c r="AD41" s="180"/>
      <c r="AE41" s="177"/>
      <c r="AF41" s="7"/>
    </row>
    <row r="42" ht="13.55" customHeight="1">
      <c r="A42" s="137"/>
      <c r="B42" t="s" s="8">
        <v>544</v>
      </c>
      <c r="C42" s="9"/>
      <c r="D42" s="9"/>
      <c r="E42" s="9"/>
      <c r="F42" t="s" s="8">
        <v>8</v>
      </c>
      <c r="G42" s="26">
        <v>1200</v>
      </c>
      <c r="H42" t="s" s="8">
        <v>8</v>
      </c>
      <c r="I42" s="26">
        <v>1200</v>
      </c>
      <c r="J42" t="s" s="8">
        <v>8</v>
      </c>
      <c r="K42" s="27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8">
        <v>8</v>
      </c>
      <c r="AA42" s="27"/>
      <c r="AB42" t="s" s="8">
        <v>8</v>
      </c>
      <c r="AC42" s="27"/>
      <c r="AD42" s="182" cm="1">
        <f t="array" ref="AD42">G42+I42+K42+M42+O42+Q42+S42+U42+W42+Y42+AA42+AC42</f>
        <v>2400</v>
      </c>
      <c r="AE42" s="183" cm="1">
        <f t="array" ref="AE42">500*11</f>
        <v>5500</v>
      </c>
      <c r="AF42" s="51" cm="1">
        <f t="array" ref="AF42">AE42-AD42</f>
        <v>3100</v>
      </c>
    </row>
    <row r="43" ht="13.55" customHeight="1">
      <c r="A43" s="137"/>
      <c r="B43" s="9"/>
      <c r="C43" s="9"/>
      <c r="D43" s="9"/>
      <c r="E43" s="9"/>
      <c r="F43" t="s" s="8">
        <v>10</v>
      </c>
      <c r="G43" t="s" s="33">
        <v>159</v>
      </c>
      <c r="H43" t="s" s="8">
        <v>10</v>
      </c>
      <c r="I43" t="s" s="33">
        <v>159</v>
      </c>
      <c r="J43" t="s" s="8">
        <v>10</v>
      </c>
      <c r="K43" s="34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8">
        <v>10</v>
      </c>
      <c r="AA43" s="34"/>
      <c r="AB43" t="s" s="8">
        <v>10</v>
      </c>
      <c r="AC43" s="34"/>
      <c r="AD43" s="180"/>
      <c r="AE43" s="177"/>
      <c r="AF43" s="7"/>
    </row>
    <row r="44" ht="13.55" customHeight="1">
      <c r="A44" s="9"/>
      <c r="B44" s="9"/>
      <c r="C44" s="9"/>
      <c r="D44" s="9"/>
      <c r="E44" s="9"/>
      <c r="F44" s="9"/>
      <c r="G44" s="27"/>
      <c r="H44" s="9"/>
      <c r="I44" s="27"/>
      <c r="J44" s="9"/>
      <c r="K44" s="2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80"/>
      <c r="AE44" s="177"/>
      <c r="AF44" s="7"/>
    </row>
    <row r="45" ht="15" customHeight="1">
      <c r="A45" s="136">
        <v>7</v>
      </c>
      <c r="B45" t="s" s="15">
        <v>676</v>
      </c>
      <c r="C45" s="9"/>
      <c r="D45" s="9"/>
      <c r="E45" t="s" s="8">
        <v>5</v>
      </c>
      <c r="F45" t="s" s="8">
        <v>6</v>
      </c>
      <c r="G45" s="18"/>
      <c r="H45" t="s" s="8">
        <v>6</v>
      </c>
      <c r="I45" s="18"/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8"/>
      <c r="Z45" t="s" s="8">
        <v>6</v>
      </c>
      <c r="AA45" s="18"/>
      <c r="AB45" t="s" s="8">
        <v>6</v>
      </c>
      <c r="AC45" s="18"/>
      <c r="AD45" s="180"/>
      <c r="AE45" s="177"/>
      <c r="AF45" s="7"/>
    </row>
    <row r="46" ht="13.55" customHeight="1">
      <c r="A46" s="137"/>
      <c r="B46" s="27"/>
      <c r="C46" s="27"/>
      <c r="D46" s="27"/>
      <c r="E46" s="9"/>
      <c r="F46" t="s" s="8">
        <v>8</v>
      </c>
      <c r="G46" s="27"/>
      <c r="H46" t="s" s="8">
        <v>8</v>
      </c>
      <c r="I46" s="27"/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8">
        <v>8</v>
      </c>
      <c r="AA46" s="27"/>
      <c r="AB46" t="s" s="8">
        <v>8</v>
      </c>
      <c r="AC46" s="27"/>
      <c r="AD46" s="182" cm="1">
        <f t="array" ref="AD46">G46+I46+K46+M46+O46+Q46+S46+U46+W46+Y46+AA46+AC46</f>
        <v>0</v>
      </c>
      <c r="AE46" s="183" cm="1">
        <f t="array" ref="AE46">1300*12</f>
        <v>15600</v>
      </c>
      <c r="AF46" s="51" cm="1">
        <f t="array" ref="AF46">AE46-AD46</f>
        <v>15600</v>
      </c>
    </row>
    <row r="47" ht="13.55" customHeight="1">
      <c r="A47" s="137"/>
      <c r="B47" s="27"/>
      <c r="C47" t="s" s="8">
        <v>9</v>
      </c>
      <c r="D47" s="27"/>
      <c r="E47" s="9"/>
      <c r="F47" t="s" s="8">
        <v>10</v>
      </c>
      <c r="G47" s="34"/>
      <c r="H47" t="s" s="8">
        <v>10</v>
      </c>
      <c r="I47" s="34"/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8">
        <v>10</v>
      </c>
      <c r="AA47" s="34"/>
      <c r="AB47" t="s" s="8">
        <v>10</v>
      </c>
      <c r="AC47" s="34"/>
      <c r="AD47" s="180"/>
      <c r="AE47" s="177"/>
      <c r="AF47" s="7"/>
    </row>
    <row r="48" ht="13.75" customHeight="1">
      <c r="A48" s="137"/>
      <c r="B48" t="s" s="8">
        <v>677</v>
      </c>
      <c r="C48" s="9"/>
      <c r="D48" s="9"/>
      <c r="E48" t="s" s="8">
        <v>14</v>
      </c>
      <c r="F48" t="s" s="8">
        <v>6</v>
      </c>
      <c r="G48" s="18"/>
      <c r="H48" t="s" s="8">
        <v>6</v>
      </c>
      <c r="I48" s="18"/>
      <c r="J48" t="s" s="8">
        <v>6</v>
      </c>
      <c r="K48" s="27"/>
      <c r="L48" t="s" s="8">
        <v>6</v>
      </c>
      <c r="M48" s="18"/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8">
        <v>6</v>
      </c>
      <c r="Y48" s="18"/>
      <c r="Z48" t="s" s="8">
        <v>6</v>
      </c>
      <c r="AA48" s="18"/>
      <c r="AB48" t="s" s="8">
        <v>6</v>
      </c>
      <c r="AC48" s="18"/>
      <c r="AD48" s="180"/>
      <c r="AE48" s="177"/>
      <c r="AF48" s="7"/>
    </row>
    <row r="49" ht="13.55" customHeight="1">
      <c r="A49" s="137"/>
      <c r="B49" t="s" s="8">
        <v>678</v>
      </c>
      <c r="C49" s="9"/>
      <c r="D49" s="9"/>
      <c r="E49" s="9"/>
      <c r="F49" t="s" s="8">
        <v>8</v>
      </c>
      <c r="G49" s="27"/>
      <c r="H49" t="s" s="8">
        <v>8</v>
      </c>
      <c r="I49" s="27"/>
      <c r="J49" t="s" s="8">
        <v>8</v>
      </c>
      <c r="K49" s="27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7"/>
      <c r="Z49" t="s" s="8">
        <v>8</v>
      </c>
      <c r="AA49" s="27"/>
      <c r="AB49" t="s" s="8">
        <v>8</v>
      </c>
      <c r="AC49" s="27"/>
      <c r="AD49" s="182" cm="1">
        <f t="array" ref="AD49">G49+I49+K49+M49+O49+Q49+S49+U49+W49+Y49+AA49+AC49</f>
        <v>0</v>
      </c>
      <c r="AE49" s="183" cm="1">
        <f t="array" ref="AE49">500*11</f>
        <v>5500</v>
      </c>
      <c r="AF49" s="51" cm="1">
        <f t="array" ref="AF49">AE49-AD49</f>
        <v>5500</v>
      </c>
    </row>
    <row r="50" ht="13.55" customHeight="1">
      <c r="A50" s="137"/>
      <c r="B50" s="9"/>
      <c r="C50" s="9"/>
      <c r="D50" s="9"/>
      <c r="E50" s="9"/>
      <c r="F50" t="s" s="8">
        <v>10</v>
      </c>
      <c r="G50" s="34"/>
      <c r="H50" t="s" s="8">
        <v>10</v>
      </c>
      <c r="I50" s="34"/>
      <c r="J50" t="s" s="8">
        <v>10</v>
      </c>
      <c r="K50" s="27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s="34"/>
      <c r="Z50" t="s" s="8">
        <v>10</v>
      </c>
      <c r="AA50" s="34"/>
      <c r="AB50" t="s" s="8">
        <v>10</v>
      </c>
      <c r="AC50" s="34"/>
      <c r="AD50" s="180"/>
      <c r="AE50" s="177"/>
      <c r="AF50" s="7"/>
    </row>
    <row r="51" ht="13.55" customHeight="1">
      <c r="A51" s="9"/>
      <c r="B51" s="9"/>
      <c r="C51" s="9"/>
      <c r="D51" s="9"/>
      <c r="E51" s="9"/>
      <c r="F51" s="9"/>
      <c r="G51" s="27"/>
      <c r="H51" s="9"/>
      <c r="I51" s="27"/>
      <c r="J51" s="9"/>
      <c r="K51" s="2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80"/>
      <c r="AE51" s="177"/>
      <c r="AF51" s="7"/>
    </row>
    <row r="52" ht="13.75" customHeight="1">
      <c r="A52" s="136">
        <v>8</v>
      </c>
      <c r="B52" t="s" s="15">
        <v>679</v>
      </c>
      <c r="C52" s="9"/>
      <c r="D52" s="9"/>
      <c r="E52" t="s" s="8">
        <v>5</v>
      </c>
      <c r="F52" t="s" s="8">
        <v>6</v>
      </c>
      <c r="G52" s="16">
        <v>1093</v>
      </c>
      <c r="H52" t="s" s="8">
        <v>6</v>
      </c>
      <c r="I52" s="16">
        <v>3236</v>
      </c>
      <c r="J52" t="s" s="8">
        <v>6</v>
      </c>
      <c r="K52" s="18"/>
      <c r="L52" t="s" s="8">
        <v>6</v>
      </c>
      <c r="M52" s="23"/>
      <c r="N52" t="s" s="8">
        <v>6</v>
      </c>
      <c r="O52" s="23"/>
      <c r="P52" t="s" s="8">
        <v>6</v>
      </c>
      <c r="Q52" s="23"/>
      <c r="R52" t="s" s="8">
        <v>6</v>
      </c>
      <c r="S52" s="23"/>
      <c r="T52" t="s" s="8">
        <v>6</v>
      </c>
      <c r="U52" s="23"/>
      <c r="V52" t="s" s="8">
        <v>6</v>
      </c>
      <c r="W52" s="23"/>
      <c r="X52" t="s" s="8">
        <v>6</v>
      </c>
      <c r="Y52" s="23"/>
      <c r="Z52" t="s" s="8">
        <v>6</v>
      </c>
      <c r="AA52" s="23"/>
      <c r="AB52" t="s" s="8">
        <v>6</v>
      </c>
      <c r="AC52" s="38"/>
      <c r="AD52" s="65"/>
      <c r="AE52" s="7"/>
      <c r="AF52" s="7"/>
    </row>
    <row r="53" ht="13.55" customHeight="1">
      <c r="A53" s="137"/>
      <c r="B53" s="9"/>
      <c r="C53" s="9"/>
      <c r="D53" s="42"/>
      <c r="E53" s="9"/>
      <c r="F53" t="s" s="8">
        <v>8</v>
      </c>
      <c r="G53" s="26">
        <v>1400</v>
      </c>
      <c r="H53" t="s" s="8">
        <v>8</v>
      </c>
      <c r="I53" s="26">
        <v>1400</v>
      </c>
      <c r="J53" t="s" s="8">
        <v>8</v>
      </c>
      <c r="K53" s="27"/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7"/>
      <c r="Z53" t="s" s="8">
        <v>8</v>
      </c>
      <c r="AA53" s="27"/>
      <c r="AB53" t="s" s="8">
        <v>8</v>
      </c>
      <c r="AC53" s="27"/>
      <c r="AD53" s="182" cm="1">
        <f t="array" ref="AD53">G53+I53+K53+M53+O53+Q53+S53+U53+W53+Y53+AA53+AC53</f>
        <v>2800</v>
      </c>
      <c r="AE53" s="183" cm="1">
        <f t="array" ref="AE53">1300*12</f>
        <v>15600</v>
      </c>
      <c r="AF53" s="51" cm="1">
        <f t="array" ref="AF53">AE53-AD53</f>
        <v>12800</v>
      </c>
    </row>
    <row r="54" ht="13.55" customHeight="1">
      <c r="A54" s="137"/>
      <c r="B54" s="9"/>
      <c r="C54" t="s" s="8">
        <v>9</v>
      </c>
      <c r="D54" s="25">
        <v>1000</v>
      </c>
      <c r="E54" s="9"/>
      <c r="F54" t="s" s="8">
        <v>10</v>
      </c>
      <c r="G54" t="s" s="33">
        <v>23</v>
      </c>
      <c r="H54" t="s" s="8">
        <v>10</v>
      </c>
      <c r="I54" t="s" s="33">
        <v>64</v>
      </c>
      <c r="J54" t="s" s="8">
        <v>10</v>
      </c>
      <c r="K54" s="34"/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s="34"/>
      <c r="Z54" t="s" s="8">
        <v>10</v>
      </c>
      <c r="AA54" s="34"/>
      <c r="AB54" t="s" s="8">
        <v>10</v>
      </c>
      <c r="AC54" s="34"/>
      <c r="AD54" s="180"/>
      <c r="AE54" s="177"/>
      <c r="AF54" s="7"/>
    </row>
    <row r="55" ht="13.75" customHeight="1">
      <c r="A55" s="137"/>
      <c r="B55" t="s" s="8">
        <v>680</v>
      </c>
      <c r="C55" s="9"/>
      <c r="D55" s="9"/>
      <c r="E55" t="s" s="8">
        <v>14</v>
      </c>
      <c r="F55" t="s" s="8">
        <v>6</v>
      </c>
      <c r="G55" s="18"/>
      <c r="H55" t="s" s="8">
        <v>6</v>
      </c>
      <c r="I55" s="16">
        <v>2203</v>
      </c>
      <c r="J55" t="s" s="8">
        <v>6</v>
      </c>
      <c r="K55" s="27"/>
      <c r="L55" t="s" s="8">
        <v>6</v>
      </c>
      <c r="M55" s="23"/>
      <c r="N55" t="s" s="8">
        <v>6</v>
      </c>
      <c r="O55" s="23"/>
      <c r="P55" t="s" s="8">
        <v>6</v>
      </c>
      <c r="Q55" s="23"/>
      <c r="R55" t="s" s="8">
        <v>6</v>
      </c>
      <c r="S55" s="23"/>
      <c r="T55" t="s" s="8">
        <v>6</v>
      </c>
      <c r="U55" s="23"/>
      <c r="V55" t="s" s="8">
        <v>6</v>
      </c>
      <c r="W55" s="23"/>
      <c r="X55" t="s" s="8">
        <v>6</v>
      </c>
      <c r="Y55" s="23"/>
      <c r="Z55" t="s" s="8">
        <v>6</v>
      </c>
      <c r="AA55" s="23"/>
      <c r="AB55" t="s" s="8">
        <v>6</v>
      </c>
      <c r="AC55" s="23"/>
      <c r="AD55" s="180"/>
      <c r="AE55" s="177"/>
      <c r="AF55" s="7"/>
    </row>
    <row r="56" ht="13.55" customHeight="1">
      <c r="A56" s="137"/>
      <c r="B56" t="s" s="8">
        <v>681</v>
      </c>
      <c r="C56" s="9"/>
      <c r="D56" s="9"/>
      <c r="E56" s="9"/>
      <c r="F56" t="s" s="8">
        <v>8</v>
      </c>
      <c r="G56" s="27"/>
      <c r="H56" t="s" s="8">
        <v>8</v>
      </c>
      <c r="I56" s="26">
        <v>600</v>
      </c>
      <c r="J56" t="s" s="8">
        <v>8</v>
      </c>
      <c r="K56" s="27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7"/>
      <c r="Z56" t="s" s="8">
        <v>8</v>
      </c>
      <c r="AA56" s="27"/>
      <c r="AB56" t="s" s="8">
        <v>8</v>
      </c>
      <c r="AC56" s="27"/>
      <c r="AD56" s="182" cm="1">
        <f t="array" ref="AD56">G56+I56+K56+M56+O56+Q56+S56+U56+W56+Y56+AA56+AC56</f>
        <v>600</v>
      </c>
      <c r="AE56" s="183" cm="1">
        <f t="array" ref="AE56">500*11</f>
        <v>5500</v>
      </c>
      <c r="AF56" s="51" cm="1">
        <f t="array" ref="AF56">AE56-AD56</f>
        <v>4900</v>
      </c>
    </row>
    <row r="57" ht="13.55" customHeight="1">
      <c r="A57" s="137"/>
      <c r="B57" s="9"/>
      <c r="C57" s="9"/>
      <c r="D57" s="9"/>
      <c r="E57" s="9"/>
      <c r="F57" t="s" s="8">
        <v>10</v>
      </c>
      <c r="G57" s="34"/>
      <c r="H57" t="s" s="8">
        <v>10</v>
      </c>
      <c r="I57" t="s" s="33">
        <v>64</v>
      </c>
      <c r="J57" t="s" s="8">
        <v>10</v>
      </c>
      <c r="K57" s="27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s="34"/>
      <c r="Z57" t="s" s="8">
        <v>10</v>
      </c>
      <c r="AA57" s="34"/>
      <c r="AB57" t="s" s="8">
        <v>10</v>
      </c>
      <c r="AC57" s="350"/>
      <c r="AD57" s="70"/>
      <c r="AE57" s="7"/>
      <c r="AF57" s="7"/>
    </row>
    <row r="58" ht="13.55" customHeight="1">
      <c r="A58" s="9"/>
      <c r="B58" s="9"/>
      <c r="C58" s="9"/>
      <c r="D58" s="9"/>
      <c r="E58" s="9"/>
      <c r="F58" s="9"/>
      <c r="G58" s="27"/>
      <c r="H58" s="9"/>
      <c r="I58" s="27"/>
      <c r="J58" s="9"/>
      <c r="K58" s="27"/>
      <c r="L58" s="332"/>
      <c r="M58" s="65"/>
      <c r="N58" s="66"/>
      <c r="O58" s="65"/>
      <c r="P58" s="66"/>
      <c r="Q58" s="65"/>
      <c r="R58" s="66"/>
      <c r="S58" s="66"/>
      <c r="T58" s="66"/>
      <c r="U58" s="66"/>
      <c r="V58" s="66"/>
      <c r="W58" s="66"/>
      <c r="X58" s="66"/>
      <c r="Y58" s="325"/>
      <c r="Z58" s="9"/>
      <c r="AA58" s="9"/>
      <c r="AB58" s="9"/>
      <c r="AC58" s="9"/>
      <c r="AD58" s="13"/>
      <c r="AE58" s="7"/>
      <c r="AF58" s="7"/>
    </row>
    <row r="59" ht="13.75" customHeight="1">
      <c r="A59" s="136">
        <v>9</v>
      </c>
      <c r="B59" t="s" s="15">
        <v>682</v>
      </c>
      <c r="C59" s="38"/>
      <c r="D59" s="39"/>
      <c r="E59" t="s" s="8">
        <v>5</v>
      </c>
      <c r="F59" t="s" s="8">
        <v>6</v>
      </c>
      <c r="G59" s="16">
        <v>1237</v>
      </c>
      <c r="H59" t="s" s="8">
        <v>6</v>
      </c>
      <c r="I59" s="16">
        <v>3249</v>
      </c>
      <c r="J59" t="s" s="8">
        <v>6</v>
      </c>
      <c r="K59" s="18"/>
      <c r="L59" t="s" s="8">
        <v>6</v>
      </c>
      <c r="M59" s="18"/>
      <c r="N59" t="s" s="8">
        <v>6</v>
      </c>
      <c r="O59" s="18"/>
      <c r="P59" t="s" s="8">
        <v>6</v>
      </c>
      <c r="Q59" s="18"/>
      <c r="R59" t="s" s="8">
        <v>6</v>
      </c>
      <c r="S59" s="18"/>
      <c r="T59" t="s" s="8">
        <v>6</v>
      </c>
      <c r="U59" s="18"/>
      <c r="V59" t="s" s="8">
        <v>6</v>
      </c>
      <c r="W59" s="18"/>
      <c r="X59" t="s" s="8">
        <v>6</v>
      </c>
      <c r="Y59" s="18"/>
      <c r="Z59" t="s" s="8">
        <v>6</v>
      </c>
      <c r="AA59" s="18"/>
      <c r="AB59" t="s" s="8">
        <v>6</v>
      </c>
      <c r="AC59" s="351"/>
      <c r="AD59" s="111"/>
      <c r="AE59" s="7"/>
      <c r="AF59" s="7"/>
    </row>
    <row r="60" ht="13.55" customHeight="1">
      <c r="A60" s="137"/>
      <c r="B60" s="9"/>
      <c r="C60" s="9"/>
      <c r="D60" s="42"/>
      <c r="E60" s="9"/>
      <c r="F60" t="s" s="8">
        <v>8</v>
      </c>
      <c r="G60" s="26">
        <v>1400</v>
      </c>
      <c r="H60" t="s" s="8">
        <v>8</v>
      </c>
      <c r="I60" s="26">
        <v>1400</v>
      </c>
      <c r="J60" t="s" s="8">
        <v>8</v>
      </c>
      <c r="K60" s="27"/>
      <c r="L60" t="s" s="8">
        <v>8</v>
      </c>
      <c r="M60" s="27"/>
      <c r="N60" t="s" s="8">
        <v>8</v>
      </c>
      <c r="O60" s="27"/>
      <c r="P60" t="s" s="8">
        <v>8</v>
      </c>
      <c r="Q60" s="27"/>
      <c r="R60" t="s" s="8">
        <v>8</v>
      </c>
      <c r="S60" s="27"/>
      <c r="T60" t="s" s="8">
        <v>8</v>
      </c>
      <c r="U60" s="27"/>
      <c r="V60" t="s" s="8">
        <v>8</v>
      </c>
      <c r="W60" s="27"/>
      <c r="X60" t="s" s="8">
        <v>8</v>
      </c>
      <c r="Y60" s="27"/>
      <c r="Z60" t="s" s="8">
        <v>8</v>
      </c>
      <c r="AA60" s="27"/>
      <c r="AB60" t="s" s="8">
        <v>8</v>
      </c>
      <c r="AC60" s="27"/>
      <c r="AD60" s="182" cm="1">
        <f t="array" ref="AD60">G60+I60+K60+M60+O60+Q60+S60+U60+W60+Y60+AA60+AC60</f>
        <v>2800</v>
      </c>
      <c r="AE60" s="183" cm="1">
        <f t="array" ref="AE60">1300*12</f>
        <v>15600</v>
      </c>
      <c r="AF60" s="51" cm="1">
        <f t="array" ref="AF60">AE60-AD60</f>
        <v>12800</v>
      </c>
    </row>
    <row r="61" ht="13.55" customHeight="1">
      <c r="A61" s="137"/>
      <c r="B61" s="23"/>
      <c r="C61" t="s" s="8">
        <v>9</v>
      </c>
      <c r="D61" s="25">
        <v>1000</v>
      </c>
      <c r="E61" s="9"/>
      <c r="F61" t="s" s="8">
        <v>10</v>
      </c>
      <c r="G61" t="s" s="33">
        <v>154</v>
      </c>
      <c r="H61" t="s" s="8">
        <v>10</v>
      </c>
      <c r="I61" t="s" s="33">
        <v>489</v>
      </c>
      <c r="J61" t="s" s="8">
        <v>10</v>
      </c>
      <c r="K61" s="34"/>
      <c r="L61" t="s" s="8">
        <v>10</v>
      </c>
      <c r="M61" s="34"/>
      <c r="N61" t="s" s="8">
        <v>10</v>
      </c>
      <c r="O61" s="34"/>
      <c r="P61" t="s" s="8">
        <v>10</v>
      </c>
      <c r="Q61" s="34"/>
      <c r="R61" t="s" s="8">
        <v>10</v>
      </c>
      <c r="S61" s="34"/>
      <c r="T61" t="s" s="8">
        <v>10</v>
      </c>
      <c r="U61" s="34"/>
      <c r="V61" t="s" s="8">
        <v>10</v>
      </c>
      <c r="W61" s="34"/>
      <c r="X61" t="s" s="8">
        <v>10</v>
      </c>
      <c r="Y61" s="34"/>
      <c r="Z61" t="s" s="8">
        <v>10</v>
      </c>
      <c r="AA61" s="34"/>
      <c r="AB61" t="s" s="8">
        <v>10</v>
      </c>
      <c r="AC61" s="34"/>
      <c r="AD61" s="180"/>
      <c r="AE61" s="177"/>
      <c r="AF61" s="7"/>
    </row>
    <row r="62" ht="13.75" customHeight="1">
      <c r="A62" s="137"/>
      <c r="B62" t="s" s="8">
        <v>683</v>
      </c>
      <c r="C62" s="9"/>
      <c r="D62" s="9"/>
      <c r="E62" t="s" s="8">
        <v>14</v>
      </c>
      <c r="F62" t="s" s="8">
        <v>6</v>
      </c>
      <c r="G62" s="18"/>
      <c r="H62" t="s" s="8">
        <v>6</v>
      </c>
      <c r="I62" s="18"/>
      <c r="J62" t="s" s="8">
        <v>6</v>
      </c>
      <c r="K62" s="27"/>
      <c r="L62" t="s" s="8">
        <v>6</v>
      </c>
      <c r="M62" s="18"/>
      <c r="N62" t="s" s="8">
        <v>6</v>
      </c>
      <c r="O62" s="18"/>
      <c r="P62" t="s" s="8">
        <v>6</v>
      </c>
      <c r="Q62" s="18"/>
      <c r="R62" t="s" s="8">
        <v>6</v>
      </c>
      <c r="S62" s="18"/>
      <c r="T62" t="s" s="8">
        <v>6</v>
      </c>
      <c r="U62" s="18"/>
      <c r="V62" t="s" s="8">
        <v>6</v>
      </c>
      <c r="W62" s="18"/>
      <c r="X62" t="s" s="8">
        <v>6</v>
      </c>
      <c r="Y62" s="18"/>
      <c r="Z62" t="s" s="8">
        <v>6</v>
      </c>
      <c r="AA62" s="18"/>
      <c r="AB62" t="s" s="8">
        <v>6</v>
      </c>
      <c r="AC62" s="18"/>
      <c r="AD62" s="180"/>
      <c r="AE62" s="177"/>
      <c r="AF62" s="7"/>
    </row>
    <row r="63" ht="13.55" customHeight="1">
      <c r="A63" s="137"/>
      <c r="B63" t="s" s="8">
        <v>684</v>
      </c>
      <c r="C63" s="352"/>
      <c r="D63" s="353"/>
      <c r="E63" s="9"/>
      <c r="F63" t="s" s="8">
        <v>8</v>
      </c>
      <c r="G63" s="27"/>
      <c r="H63" t="s" s="8">
        <v>8</v>
      </c>
      <c r="I63" s="27"/>
      <c r="J63" t="s" s="8">
        <v>8</v>
      </c>
      <c r="K63" s="27"/>
      <c r="L63" t="s" s="8">
        <v>8</v>
      </c>
      <c r="M63" s="27"/>
      <c r="N63" t="s" s="8">
        <v>8</v>
      </c>
      <c r="O63" s="27"/>
      <c r="P63" t="s" s="8">
        <v>8</v>
      </c>
      <c r="Q63" s="27"/>
      <c r="R63" t="s" s="8">
        <v>8</v>
      </c>
      <c r="S63" s="27"/>
      <c r="T63" t="s" s="8">
        <v>8</v>
      </c>
      <c r="U63" s="27"/>
      <c r="V63" t="s" s="8">
        <v>8</v>
      </c>
      <c r="W63" s="27"/>
      <c r="X63" t="s" s="8">
        <v>8</v>
      </c>
      <c r="Y63" s="27"/>
      <c r="Z63" t="s" s="8">
        <v>8</v>
      </c>
      <c r="AA63" s="27"/>
      <c r="AB63" t="s" s="8">
        <v>8</v>
      </c>
      <c r="AC63" s="27"/>
      <c r="AD63" s="182" cm="1">
        <f t="array" ref="AD63">G63+I63+K63+M63+O63+Q63+S63+U63+W63+Y63+AA63+AC63</f>
        <v>0</v>
      </c>
      <c r="AE63" s="183" cm="1">
        <f t="array" ref="AE63">500*11</f>
        <v>5500</v>
      </c>
      <c r="AF63" s="51" cm="1">
        <f t="array" ref="AF63">AE63-AD63</f>
        <v>5500</v>
      </c>
    </row>
    <row r="64" ht="13.55" customHeight="1">
      <c r="A64" s="137"/>
      <c r="B64" s="332"/>
      <c r="C64" s="109"/>
      <c r="D64" s="354"/>
      <c r="E64" s="9"/>
      <c r="F64" t="s" s="8">
        <v>10</v>
      </c>
      <c r="G64" s="34"/>
      <c r="H64" t="s" s="8">
        <v>10</v>
      </c>
      <c r="I64" s="34"/>
      <c r="J64" t="s" s="8">
        <v>10</v>
      </c>
      <c r="K64" s="27"/>
      <c r="L64" t="s" s="8">
        <v>10</v>
      </c>
      <c r="M64" s="34"/>
      <c r="N64" t="s" s="8">
        <v>10</v>
      </c>
      <c r="O64" s="34"/>
      <c r="P64" t="s" s="8">
        <v>10</v>
      </c>
      <c r="Q64" s="34"/>
      <c r="R64" t="s" s="8">
        <v>10</v>
      </c>
      <c r="S64" s="34"/>
      <c r="T64" t="s" s="8">
        <v>10</v>
      </c>
      <c r="U64" s="34"/>
      <c r="V64" t="s" s="8">
        <v>10</v>
      </c>
      <c r="W64" s="34"/>
      <c r="X64" t="s" s="8">
        <v>10</v>
      </c>
      <c r="Y64" s="34"/>
      <c r="Z64" t="s" s="8">
        <v>10</v>
      </c>
      <c r="AA64" s="34"/>
      <c r="AB64" t="s" s="8">
        <v>10</v>
      </c>
      <c r="AC64" s="350"/>
      <c r="AD64" s="70"/>
      <c r="AE64" s="7"/>
      <c r="AF64" s="7"/>
    </row>
    <row r="65" ht="13.55" customHeight="1">
      <c r="A65" s="355"/>
      <c r="B65" s="106"/>
      <c r="C65" s="73"/>
      <c r="D65" s="73"/>
      <c r="E65" s="66"/>
      <c r="F65" s="66"/>
      <c r="G65" s="68"/>
      <c r="H65" s="66"/>
      <c r="I65" s="68"/>
      <c r="J65" s="66"/>
      <c r="K65" s="68"/>
      <c r="L65" s="66"/>
      <c r="M65" s="68"/>
      <c r="N65" s="66"/>
      <c r="O65" s="68"/>
      <c r="P65" s="66"/>
      <c r="Q65" s="68"/>
      <c r="R65" s="66"/>
      <c r="S65" s="66"/>
      <c r="T65" s="66"/>
      <c r="U65" s="66"/>
      <c r="V65" s="66"/>
      <c r="W65" s="66"/>
      <c r="X65" s="66"/>
      <c r="Y65" s="325"/>
      <c r="Z65" s="9"/>
      <c r="AA65" s="9"/>
      <c r="AB65" s="9"/>
      <c r="AC65" s="9"/>
      <c r="AD65" s="13"/>
      <c r="AE65" s="7"/>
      <c r="AF65" s="7"/>
    </row>
    <row r="66" ht="13.75" customHeight="1">
      <c r="A66" s="136">
        <v>10</v>
      </c>
      <c r="B66" t="s" s="15">
        <v>685</v>
      </c>
      <c r="C66" s="71"/>
      <c r="D66" s="336"/>
      <c r="E66" t="s" s="8">
        <v>5</v>
      </c>
      <c r="F66" t="s" s="8">
        <v>6</v>
      </c>
      <c r="G66" s="18"/>
      <c r="H66" t="s" s="8">
        <v>6</v>
      </c>
      <c r="I66" s="34"/>
      <c r="J66" t="s" s="8">
        <v>6</v>
      </c>
      <c r="K66" s="27"/>
      <c r="L66" t="s" s="8">
        <v>6</v>
      </c>
      <c r="M66" s="18"/>
      <c r="N66" t="s" s="8">
        <v>6</v>
      </c>
      <c r="O66" s="18"/>
      <c r="P66" t="s" s="8">
        <v>6</v>
      </c>
      <c r="Q66" s="18"/>
      <c r="R66" t="s" s="8">
        <v>6</v>
      </c>
      <c r="S66" s="18"/>
      <c r="T66" t="s" s="8">
        <v>6</v>
      </c>
      <c r="U66" s="18"/>
      <c r="V66" t="s" s="8">
        <v>6</v>
      </c>
      <c r="W66" s="18"/>
      <c r="X66" t="s" s="8">
        <v>6</v>
      </c>
      <c r="Y66" s="18"/>
      <c r="Z66" t="s" s="8">
        <v>6</v>
      </c>
      <c r="AA66" s="18"/>
      <c r="AB66" t="s" s="8">
        <v>6</v>
      </c>
      <c r="AC66" s="9"/>
      <c r="AD66" s="71"/>
      <c r="AE66" s="7"/>
      <c r="AF66" s="7"/>
    </row>
    <row r="67" ht="13.75" customHeight="1">
      <c r="A67" s="137"/>
      <c r="B67" t="s" s="124">
        <v>68</v>
      </c>
      <c r="C67" t="s" s="8">
        <v>7</v>
      </c>
      <c r="D67" s="42"/>
      <c r="E67" s="9"/>
      <c r="F67" t="s" s="8">
        <v>8</v>
      </c>
      <c r="G67" s="27"/>
      <c r="H67" t="s" s="8">
        <v>8</v>
      </c>
      <c r="I67" s="9"/>
      <c r="J67" t="s" s="8">
        <v>8</v>
      </c>
      <c r="K67" s="9"/>
      <c r="L67" t="s" s="8">
        <v>8</v>
      </c>
      <c r="M67" s="27"/>
      <c r="N67" t="s" s="8">
        <v>8</v>
      </c>
      <c r="O67" s="27"/>
      <c r="P67" t="s" s="8">
        <v>8</v>
      </c>
      <c r="Q67" s="27"/>
      <c r="R67" t="s" s="8">
        <v>8</v>
      </c>
      <c r="S67" s="27"/>
      <c r="T67" t="s" s="8">
        <v>8</v>
      </c>
      <c r="U67" s="27"/>
      <c r="V67" t="s" s="8">
        <v>8</v>
      </c>
      <c r="W67" s="27"/>
      <c r="X67" t="s" s="8">
        <v>8</v>
      </c>
      <c r="Y67" s="27"/>
      <c r="Z67" t="s" s="8">
        <v>8</v>
      </c>
      <c r="AA67" s="27"/>
      <c r="AB67" t="s" s="8">
        <v>8</v>
      </c>
      <c r="AC67" s="9"/>
      <c r="AD67" s="182" cm="1">
        <f t="array" ref="AD67">G67+I67+K67+M67+O67+Q67+S67+U67+W67+Y67+AA67+AC67</f>
        <v>0</v>
      </c>
      <c r="AE67" s="183" cm="1">
        <f t="array" ref="AE67">1300*9</f>
        <v>11700</v>
      </c>
      <c r="AF67" s="51" cm="1">
        <f t="array" ref="AF67">AE67-AD67</f>
        <v>11700</v>
      </c>
    </row>
    <row r="68" ht="13.55" customHeight="1">
      <c r="A68" s="137"/>
      <c r="B68" s="23"/>
      <c r="C68" t="s" s="8">
        <v>9</v>
      </c>
      <c r="D68" s="42"/>
      <c r="E68" s="9"/>
      <c r="F68" t="s" s="8">
        <v>10</v>
      </c>
      <c r="G68" s="34"/>
      <c r="H68" t="s" s="8">
        <v>10</v>
      </c>
      <c r="I68" s="23"/>
      <c r="J68" t="s" s="8">
        <v>10</v>
      </c>
      <c r="K68" s="23"/>
      <c r="L68" t="s" s="8">
        <v>10</v>
      </c>
      <c r="M68" s="34"/>
      <c r="N68" t="s" s="8">
        <v>10</v>
      </c>
      <c r="O68" s="34"/>
      <c r="P68" t="s" s="8">
        <v>10</v>
      </c>
      <c r="Q68" s="34"/>
      <c r="R68" t="s" s="8">
        <v>10</v>
      </c>
      <c r="S68" s="34"/>
      <c r="T68" t="s" s="8">
        <v>10</v>
      </c>
      <c r="U68" s="34"/>
      <c r="V68" t="s" s="8">
        <v>10</v>
      </c>
      <c r="W68" s="34"/>
      <c r="X68" t="s" s="8">
        <v>10</v>
      </c>
      <c r="Y68" s="34"/>
      <c r="Z68" t="s" s="8">
        <v>10</v>
      </c>
      <c r="AA68" s="34"/>
      <c r="AB68" t="s" s="8">
        <v>10</v>
      </c>
      <c r="AC68" s="9"/>
      <c r="AD68" s="180"/>
      <c r="AE68" s="177"/>
      <c r="AF68" s="7"/>
    </row>
    <row r="69" ht="13.75" customHeight="1">
      <c r="A69" s="137"/>
      <c r="B69" t="s" s="8">
        <v>686</v>
      </c>
      <c r="C69" s="9"/>
      <c r="D69" s="9"/>
      <c r="E69" t="s" s="8">
        <v>14</v>
      </c>
      <c r="F69" t="s" s="8">
        <v>6</v>
      </c>
      <c r="G69" s="18"/>
      <c r="H69" t="s" s="8">
        <v>6</v>
      </c>
      <c r="I69" s="27"/>
      <c r="J69" t="s" s="8">
        <v>6</v>
      </c>
      <c r="K69" s="27"/>
      <c r="L69" t="s" s="8">
        <v>6</v>
      </c>
      <c r="M69" s="27"/>
      <c r="N69" t="s" s="8">
        <v>6</v>
      </c>
      <c r="O69" s="27"/>
      <c r="P69" t="s" s="8">
        <v>6</v>
      </c>
      <c r="Q69" s="27"/>
      <c r="R69" t="s" s="8">
        <v>6</v>
      </c>
      <c r="S69" s="9"/>
      <c r="T69" t="s" s="8">
        <v>6</v>
      </c>
      <c r="U69" s="9"/>
      <c r="V69" t="s" s="8">
        <v>6</v>
      </c>
      <c r="W69" s="9"/>
      <c r="X69" t="s" s="8">
        <v>6</v>
      </c>
      <c r="Y69" s="9"/>
      <c r="Z69" t="s" s="8">
        <v>6</v>
      </c>
      <c r="AA69" s="9"/>
      <c r="AB69" t="s" s="8">
        <v>6</v>
      </c>
      <c r="AC69" s="9"/>
      <c r="AD69" s="180"/>
      <c r="AE69" s="177"/>
      <c r="AF69" s="7"/>
    </row>
    <row r="70" ht="13.55" customHeight="1">
      <c r="A70" s="137"/>
      <c r="B70" t="s" s="8">
        <v>687</v>
      </c>
      <c r="C70" s="352"/>
      <c r="D70" s="353"/>
      <c r="E70" s="9"/>
      <c r="F70" t="s" s="8">
        <v>8</v>
      </c>
      <c r="G70" s="27"/>
      <c r="H70" t="s" s="8">
        <v>8</v>
      </c>
      <c r="I70" s="34"/>
      <c r="J70" t="s" s="8">
        <v>8</v>
      </c>
      <c r="K70" s="27"/>
      <c r="L70" t="s" s="8">
        <v>8</v>
      </c>
      <c r="M70" s="34"/>
      <c r="N70" t="s" s="8">
        <v>8</v>
      </c>
      <c r="O70" s="34"/>
      <c r="P70" t="s" s="8">
        <v>8</v>
      </c>
      <c r="Q70" s="34"/>
      <c r="R70" t="s" s="8">
        <v>8</v>
      </c>
      <c r="S70" s="9"/>
      <c r="T70" t="s" s="8">
        <v>8</v>
      </c>
      <c r="U70" s="9"/>
      <c r="V70" t="s" s="8">
        <v>8</v>
      </c>
      <c r="W70" s="9"/>
      <c r="X70" t="s" s="8">
        <v>8</v>
      </c>
      <c r="Y70" s="9"/>
      <c r="Z70" t="s" s="8">
        <v>8</v>
      </c>
      <c r="AA70" s="9"/>
      <c r="AB70" t="s" s="8">
        <v>8</v>
      </c>
      <c r="AC70" s="9"/>
      <c r="AD70" s="182" cm="1">
        <f t="array" ref="AD70">G70+I70+K70+M70+O70+Q70+S70+U70+W70+Y70+AA70+AC70</f>
        <v>0</v>
      </c>
      <c r="AE70" s="177"/>
      <c r="AF70" s="7"/>
    </row>
    <row r="71" ht="13.55" customHeight="1">
      <c r="A71" s="137"/>
      <c r="B71" s="332"/>
      <c r="C71" s="109"/>
      <c r="D71" s="354"/>
      <c r="E71" s="9"/>
      <c r="F71" t="s" s="8">
        <v>10</v>
      </c>
      <c r="G71" s="34"/>
      <c r="H71" t="s" s="8">
        <v>10</v>
      </c>
      <c r="I71" s="23"/>
      <c r="J71" t="s" s="8">
        <v>10</v>
      </c>
      <c r="K71" s="27"/>
      <c r="L71" t="s" s="8">
        <v>10</v>
      </c>
      <c r="M71" s="23"/>
      <c r="N71" t="s" s="8">
        <v>10</v>
      </c>
      <c r="O71" s="23"/>
      <c r="P71" t="s" s="8">
        <v>10</v>
      </c>
      <c r="Q71" s="9"/>
      <c r="R71" t="s" s="8">
        <v>10</v>
      </c>
      <c r="S71" s="9"/>
      <c r="T71" t="s" s="8">
        <v>10</v>
      </c>
      <c r="U71" s="9"/>
      <c r="V71" t="s" s="8">
        <v>10</v>
      </c>
      <c r="W71" s="9"/>
      <c r="X71" t="s" s="8">
        <v>10</v>
      </c>
      <c r="Y71" s="9"/>
      <c r="Z71" t="s" s="8">
        <v>10</v>
      </c>
      <c r="AA71" s="9"/>
      <c r="AB71" t="s" s="8">
        <v>10</v>
      </c>
      <c r="AC71" s="9"/>
      <c r="AD71" s="72"/>
      <c r="AE71" s="7"/>
      <c r="AF71" s="7"/>
    </row>
    <row r="72" ht="13.55" customHeight="1">
      <c r="A72" s="355"/>
      <c r="B72" s="106"/>
      <c r="C72" s="73"/>
      <c r="D72" s="73"/>
      <c r="E72" s="66"/>
      <c r="F72" s="66"/>
      <c r="G72" s="68"/>
      <c r="H72" s="66"/>
      <c r="I72" s="68"/>
      <c r="J72" s="66"/>
      <c r="K72" s="68"/>
      <c r="L72" s="66"/>
      <c r="M72" s="68"/>
      <c r="N72" s="66"/>
      <c r="O72" s="68"/>
      <c r="P72" s="66"/>
      <c r="Q72" s="68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"/>
      <c r="AE72" s="7"/>
      <c r="AF72" s="7"/>
    </row>
    <row r="73" ht="13.75" customHeight="1">
      <c r="A73" s="136">
        <v>11</v>
      </c>
      <c r="B73" t="s" s="15">
        <v>688</v>
      </c>
      <c r="C73" s="71"/>
      <c r="D73" s="336"/>
      <c r="E73" t="s" s="8">
        <v>5</v>
      </c>
      <c r="F73" t="s" s="8">
        <v>6</v>
      </c>
      <c r="G73" s="16">
        <v>1067</v>
      </c>
      <c r="H73" t="s" s="8">
        <v>6</v>
      </c>
      <c r="I73" s="16">
        <v>1067</v>
      </c>
      <c r="J73" t="s" s="8">
        <v>6</v>
      </c>
      <c r="K73" s="27"/>
      <c r="L73" t="s" s="8">
        <v>6</v>
      </c>
      <c r="M73" s="18"/>
      <c r="N73" t="s" s="8">
        <v>6</v>
      </c>
      <c r="O73" s="18"/>
      <c r="P73" t="s" s="8">
        <v>6</v>
      </c>
      <c r="Q73" s="18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"/>
      <c r="AE73" s="7"/>
      <c r="AF73" s="7"/>
    </row>
    <row r="74" ht="13.75" customHeight="1">
      <c r="A74" s="137"/>
      <c r="B74" t="s" s="124">
        <v>68</v>
      </c>
      <c r="C74" t="s" s="8">
        <v>7</v>
      </c>
      <c r="D74" s="25">
        <v>1000</v>
      </c>
      <c r="E74" s="9"/>
      <c r="F74" t="s" s="8">
        <v>8</v>
      </c>
      <c r="G74" s="26">
        <v>1400</v>
      </c>
      <c r="H74" t="s" s="8">
        <v>8</v>
      </c>
      <c r="I74" s="26">
        <v>1400</v>
      </c>
      <c r="J74" t="s" s="8">
        <v>8</v>
      </c>
      <c r="K74" s="9"/>
      <c r="L74" t="s" s="8">
        <v>8</v>
      </c>
      <c r="M74" s="27"/>
      <c r="N74" t="s" s="8">
        <v>8</v>
      </c>
      <c r="O74" s="27"/>
      <c r="P74" t="s" s="8">
        <v>8</v>
      </c>
      <c r="Q74" s="27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"/>
      <c r="AE74" s="7"/>
      <c r="AF74" s="7"/>
    </row>
    <row r="75" ht="13.55" customHeight="1">
      <c r="A75" s="137"/>
      <c r="B75" s="23"/>
      <c r="C75" t="s" s="8">
        <v>9</v>
      </c>
      <c r="D75" s="25">
        <v>1000</v>
      </c>
      <c r="E75" s="9"/>
      <c r="F75" t="s" s="8">
        <v>10</v>
      </c>
      <c r="G75" t="s" s="33">
        <v>159</v>
      </c>
      <c r="H75" t="s" s="8">
        <v>10</v>
      </c>
      <c r="I75" t="s" s="33">
        <v>159</v>
      </c>
      <c r="J75" t="s" s="8">
        <v>10</v>
      </c>
      <c r="K75" s="23"/>
      <c r="L75" t="s" s="8">
        <v>10</v>
      </c>
      <c r="M75" s="34"/>
      <c r="N75" t="s" s="8">
        <v>10</v>
      </c>
      <c r="O75" s="34"/>
      <c r="P75" t="s" s="8">
        <v>10</v>
      </c>
      <c r="Q75" s="34"/>
      <c r="R75" s="74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"/>
      <c r="AE75" s="7"/>
      <c r="AF75" s="7"/>
    </row>
    <row r="76" ht="13.75" customHeight="1">
      <c r="A76" s="137"/>
      <c r="B76" t="s" s="8">
        <v>689</v>
      </c>
      <c r="C76" s="9"/>
      <c r="D76" s="9"/>
      <c r="E76" t="s" s="8">
        <v>14</v>
      </c>
      <c r="F76" t="s" s="8">
        <v>6</v>
      </c>
      <c r="G76" s="16">
        <v>2012</v>
      </c>
      <c r="H76" t="s" s="8">
        <v>6</v>
      </c>
      <c r="I76" s="16">
        <v>2012</v>
      </c>
      <c r="J76" t="s" s="8">
        <v>6</v>
      </c>
      <c r="K76" s="27"/>
      <c r="L76" t="s" s="8">
        <v>6</v>
      </c>
      <c r="M76" s="27"/>
      <c r="N76" t="s" s="8">
        <v>6</v>
      </c>
      <c r="O76" s="27"/>
      <c r="P76" t="s" s="8">
        <v>6</v>
      </c>
      <c r="Q76" s="27"/>
      <c r="R76" s="74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"/>
      <c r="AE76" s="7"/>
      <c r="AF76" s="7"/>
    </row>
    <row r="77" ht="13.55" customHeight="1">
      <c r="A77" s="137"/>
      <c r="B77" t="s" s="8">
        <v>690</v>
      </c>
      <c r="C77" s="352"/>
      <c r="D77" s="353"/>
      <c r="E77" s="9"/>
      <c r="F77" t="s" s="8">
        <v>8</v>
      </c>
      <c r="G77" s="26">
        <v>600</v>
      </c>
      <c r="H77" t="s" s="8">
        <v>8</v>
      </c>
      <c r="I77" s="26">
        <v>600</v>
      </c>
      <c r="J77" t="s" s="8">
        <v>8</v>
      </c>
      <c r="K77" s="27"/>
      <c r="L77" t="s" s="8">
        <v>8</v>
      </c>
      <c r="M77" s="34"/>
      <c r="N77" t="s" s="8">
        <v>8</v>
      </c>
      <c r="O77" s="34"/>
      <c r="P77" t="s" s="8">
        <v>8</v>
      </c>
      <c r="Q77" s="34"/>
      <c r="R77" s="74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"/>
      <c r="AE77" s="7"/>
      <c r="AF77" s="7"/>
    </row>
    <row r="78" ht="13.55" customHeight="1">
      <c r="A78" s="137"/>
      <c r="B78" s="332"/>
      <c r="C78" s="109"/>
      <c r="D78" s="354"/>
      <c r="E78" s="9"/>
      <c r="F78" t="s" s="8">
        <v>10</v>
      </c>
      <c r="G78" t="s" s="33">
        <v>159</v>
      </c>
      <c r="H78" t="s" s="8">
        <v>10</v>
      </c>
      <c r="I78" t="s" s="33">
        <v>159</v>
      </c>
      <c r="J78" t="s" s="8">
        <v>10</v>
      </c>
      <c r="K78" s="27"/>
      <c r="L78" t="s" s="8">
        <v>10</v>
      </c>
      <c r="M78" s="23"/>
      <c r="N78" t="s" s="8">
        <v>10</v>
      </c>
      <c r="O78" s="23"/>
      <c r="P78" t="s" s="8">
        <v>10</v>
      </c>
      <c r="Q78" s="9"/>
      <c r="R78" s="74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"/>
      <c r="AE78" s="7"/>
      <c r="AF78" s="7"/>
    </row>
    <row r="79" ht="13.55" customHeight="1">
      <c r="A79" s="355"/>
      <c r="B79" s="106"/>
      <c r="C79" s="73"/>
      <c r="D79" s="73"/>
      <c r="E79" s="66"/>
      <c r="F79" s="66"/>
      <c r="G79" s="68"/>
      <c r="H79" s="66"/>
      <c r="I79" s="68"/>
      <c r="J79" s="66"/>
      <c r="K79" s="68"/>
      <c r="L79" s="66"/>
      <c r="M79" s="68"/>
      <c r="N79" s="66"/>
      <c r="O79" s="68"/>
      <c r="P79" s="66"/>
      <c r="Q79" s="68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"/>
      <c r="AE79" s="7"/>
      <c r="AF79" s="7"/>
    </row>
    <row r="80" ht="13.75" customHeight="1">
      <c r="A80" s="136">
        <v>12</v>
      </c>
      <c r="B80" t="s" s="15">
        <v>691</v>
      </c>
      <c r="C80" s="71"/>
      <c r="D80" s="336"/>
      <c r="E80" t="s" s="8">
        <v>5</v>
      </c>
      <c r="F80" t="s" s="8">
        <v>6</v>
      </c>
      <c r="G80" s="16">
        <v>1207</v>
      </c>
      <c r="H80" t="s" s="8">
        <v>6</v>
      </c>
      <c r="I80" s="16">
        <v>3160</v>
      </c>
      <c r="J80" t="s" s="8">
        <v>6</v>
      </c>
      <c r="K80" s="16">
        <v>3266</v>
      </c>
      <c r="L80" t="s" s="8">
        <v>6</v>
      </c>
      <c r="M80" s="18"/>
      <c r="N80" t="s" s="8">
        <v>6</v>
      </c>
      <c r="O80" s="18"/>
      <c r="P80" t="s" s="8">
        <v>6</v>
      </c>
      <c r="Q80" s="18"/>
      <c r="R80" s="74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"/>
      <c r="AE80" s="7"/>
      <c r="AF80" s="7"/>
    </row>
    <row r="81" ht="13.75" customHeight="1">
      <c r="A81" s="137"/>
      <c r="B81" t="s" s="124">
        <v>68</v>
      </c>
      <c r="C81" t="s" s="8">
        <v>7</v>
      </c>
      <c r="D81" s="25">
        <v>1000</v>
      </c>
      <c r="E81" s="9"/>
      <c r="F81" t="s" s="8">
        <v>8</v>
      </c>
      <c r="G81" s="26">
        <v>1400</v>
      </c>
      <c r="H81" t="s" s="8">
        <v>8</v>
      </c>
      <c r="I81" s="26">
        <v>1400</v>
      </c>
      <c r="J81" t="s" s="8">
        <v>8</v>
      </c>
      <c r="K81" s="26">
        <v>1400</v>
      </c>
      <c r="L81" t="s" s="8">
        <v>8</v>
      </c>
      <c r="M81" s="27"/>
      <c r="N81" t="s" s="8">
        <v>8</v>
      </c>
      <c r="O81" s="27"/>
      <c r="P81" t="s" s="8">
        <v>8</v>
      </c>
      <c r="Q81" s="27"/>
      <c r="R81" s="74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"/>
      <c r="AE81" s="7"/>
      <c r="AF81" s="7"/>
    </row>
    <row r="82" ht="13.55" customHeight="1">
      <c r="A82" s="137"/>
      <c r="B82" s="23"/>
      <c r="C82" t="s" s="8">
        <v>9</v>
      </c>
      <c r="D82" s="25">
        <v>1000</v>
      </c>
      <c r="E82" s="9"/>
      <c r="F82" t="s" s="8">
        <v>10</v>
      </c>
      <c r="G82" t="s" s="33">
        <v>126</v>
      </c>
      <c r="H82" t="s" s="8">
        <v>10</v>
      </c>
      <c r="I82" t="s" s="33">
        <v>51</v>
      </c>
      <c r="J82" t="s" s="8">
        <v>10</v>
      </c>
      <c r="K82" t="s" s="33">
        <v>127</v>
      </c>
      <c r="L82" t="s" s="8">
        <v>10</v>
      </c>
      <c r="M82" s="34"/>
      <c r="N82" t="s" s="8">
        <v>10</v>
      </c>
      <c r="O82" s="34"/>
      <c r="P82" t="s" s="8">
        <v>10</v>
      </c>
      <c r="Q82" s="34"/>
      <c r="R82" s="74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"/>
      <c r="AE82" s="7"/>
      <c r="AF82" s="7"/>
    </row>
    <row r="83" ht="13.75" customHeight="1">
      <c r="A83" s="137"/>
      <c r="B83" t="s" s="8">
        <v>692</v>
      </c>
      <c r="C83" s="9"/>
      <c r="D83" s="9"/>
      <c r="E83" t="s" s="8">
        <v>14</v>
      </c>
      <c r="F83" t="s" s="8">
        <v>6</v>
      </c>
      <c r="G83" s="18"/>
      <c r="H83" t="s" s="8">
        <v>6</v>
      </c>
      <c r="I83" s="27"/>
      <c r="J83" t="s" s="8">
        <v>6</v>
      </c>
      <c r="K83" s="27"/>
      <c r="L83" t="s" s="8">
        <v>6</v>
      </c>
      <c r="M83" s="27"/>
      <c r="N83" t="s" s="8">
        <v>6</v>
      </c>
      <c r="O83" s="27"/>
      <c r="P83" t="s" s="8">
        <v>6</v>
      </c>
      <c r="Q83" s="27"/>
      <c r="R83" s="74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"/>
      <c r="AE83" s="7"/>
      <c r="AF83" s="7"/>
    </row>
    <row r="84" ht="13.55" customHeight="1">
      <c r="A84" s="137"/>
      <c r="B84" t="s" s="8">
        <v>693</v>
      </c>
      <c r="C84" s="352"/>
      <c r="D84" s="353"/>
      <c r="E84" s="9"/>
      <c r="F84" t="s" s="8">
        <v>8</v>
      </c>
      <c r="G84" s="27"/>
      <c r="H84" t="s" s="8">
        <v>8</v>
      </c>
      <c r="I84" s="34"/>
      <c r="J84" t="s" s="8">
        <v>8</v>
      </c>
      <c r="K84" s="27"/>
      <c r="L84" t="s" s="8">
        <v>8</v>
      </c>
      <c r="M84" s="34"/>
      <c r="N84" t="s" s="8">
        <v>8</v>
      </c>
      <c r="O84" s="34"/>
      <c r="P84" t="s" s="8">
        <v>8</v>
      </c>
      <c r="Q84" s="34"/>
      <c r="R84" s="74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"/>
      <c r="AE84" s="7"/>
      <c r="AF84" s="7"/>
    </row>
    <row r="85" ht="13.55" customHeight="1">
      <c r="A85" s="137"/>
      <c r="B85" s="332"/>
      <c r="C85" s="109"/>
      <c r="D85" s="354"/>
      <c r="E85" s="9"/>
      <c r="F85" t="s" s="8">
        <v>10</v>
      </c>
      <c r="G85" s="34"/>
      <c r="H85" t="s" s="8">
        <v>10</v>
      </c>
      <c r="I85" s="23"/>
      <c r="J85" t="s" s="8">
        <v>10</v>
      </c>
      <c r="K85" s="27"/>
      <c r="L85" t="s" s="8">
        <v>10</v>
      </c>
      <c r="M85" s="23"/>
      <c r="N85" t="s" s="8">
        <v>10</v>
      </c>
      <c r="O85" s="23"/>
      <c r="P85" t="s" s="8">
        <v>10</v>
      </c>
      <c r="Q85" s="9"/>
      <c r="R85" s="74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"/>
      <c r="AE85" s="7"/>
      <c r="AF85" s="7"/>
    </row>
    <row r="86" ht="13.55" customHeight="1">
      <c r="A86" s="311"/>
      <c r="B86" s="312"/>
      <c r="C86" s="70"/>
      <c r="D86" s="70"/>
      <c r="E86" s="73"/>
      <c r="F86" s="73"/>
      <c r="G86" s="356"/>
      <c r="H86" s="73"/>
      <c r="I86" s="356"/>
      <c r="J86" s="73"/>
      <c r="K86" s="356"/>
      <c r="L86" s="73"/>
      <c r="M86" s="356"/>
      <c r="N86" s="73"/>
      <c r="O86" s="356"/>
      <c r="P86" s="73"/>
      <c r="Q86" s="356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"/>
      <c r="AE86" s="7"/>
      <c r="AF86" s="7"/>
    </row>
    <row r="87" ht="13.55" customHeight="1">
      <c r="A87" s="314"/>
      <c r="B87" s="315"/>
      <c r="C87" s="7"/>
      <c r="D87" s="7"/>
      <c r="E87" s="75"/>
      <c r="F87" s="75"/>
      <c r="G87" s="79"/>
      <c r="H87" s="75"/>
      <c r="I87" s="80"/>
      <c r="J87" s="75"/>
      <c r="K87" s="79"/>
      <c r="L87" s="75"/>
      <c r="M87" s="80"/>
      <c r="N87" s="75"/>
      <c r="O87" s="80"/>
      <c r="P87" s="75"/>
      <c r="Q87" s="80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"/>
      <c r="AE87" s="7"/>
      <c r="AF87" s="7"/>
    </row>
    <row r="88" ht="13.55" customHeight="1">
      <c r="A88" s="314"/>
      <c r="B88" s="31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3.55" customHeight="1">
      <c r="A89" s="314"/>
      <c r="B89" s="315"/>
      <c r="C89" s="7"/>
      <c r="D89" s="7"/>
      <c r="E89" s="75"/>
      <c r="F89" s="75"/>
      <c r="G89" s="7"/>
      <c r="H89" s="75"/>
      <c r="I89" s="7"/>
      <c r="J89" s="75"/>
      <c r="K89" s="7"/>
      <c r="L89" s="75"/>
      <c r="M89" s="7"/>
      <c r="N89" s="75"/>
      <c r="O89" s="7"/>
      <c r="P89" s="75"/>
      <c r="Q89" s="7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"/>
      <c r="AE89" s="7"/>
      <c r="AF89" s="7"/>
    </row>
    <row r="90" ht="13.55" customHeight="1">
      <c r="A90" s="314"/>
      <c r="B90" s="315"/>
      <c r="C90" s="7"/>
      <c r="D90" s="7"/>
      <c r="E90" s="75"/>
      <c r="F90" s="75"/>
      <c r="G90" s="79"/>
      <c r="H90" s="75"/>
      <c r="I90" s="79"/>
      <c r="J90" s="75"/>
      <c r="K90" s="79"/>
      <c r="L90" s="75"/>
      <c r="M90" s="79"/>
      <c r="N90" s="75"/>
      <c r="O90" s="79"/>
      <c r="P90" s="75"/>
      <c r="Q90" s="79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"/>
      <c r="AE90" s="7"/>
      <c r="AF90" s="7"/>
    </row>
    <row r="91" ht="13.55" customHeight="1">
      <c r="A91" s="314"/>
      <c r="B91" s="315"/>
      <c r="C91" s="7"/>
      <c r="D91" s="7"/>
      <c r="E91" s="75"/>
      <c r="F91" s="75"/>
      <c r="G91" s="80"/>
      <c r="H91" s="75"/>
      <c r="I91" s="80"/>
      <c r="J91" s="75"/>
      <c r="K91" s="79"/>
      <c r="L91" s="75"/>
      <c r="M91" s="80"/>
      <c r="N91" s="75"/>
      <c r="O91" s="80"/>
      <c r="P91" s="75"/>
      <c r="Q91" s="81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"/>
      <c r="AE91" s="7"/>
      <c r="AF91" s="7"/>
    </row>
    <row r="92" ht="13.55" customHeight="1">
      <c r="A92" s="314"/>
      <c r="B92" s="315"/>
      <c r="C92" s="7"/>
      <c r="D92" s="7"/>
      <c r="E92" s="75"/>
      <c r="F92" s="75"/>
      <c r="G92" s="79"/>
      <c r="H92" s="75"/>
      <c r="I92" s="7"/>
      <c r="J92" s="75"/>
      <c r="K92" s="79"/>
      <c r="L92" s="75"/>
      <c r="M92" s="7"/>
      <c r="N92" s="75"/>
      <c r="O92" s="7"/>
      <c r="P92" s="75"/>
      <c r="Q92" s="7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"/>
      <c r="AE92" s="7"/>
      <c r="AF92" s="7"/>
    </row>
    <row r="93" ht="13.55" customHeight="1">
      <c r="A93" s="314"/>
      <c r="B93" s="315"/>
      <c r="C93" s="7"/>
      <c r="D93" s="7"/>
      <c r="E93" s="75"/>
      <c r="F93" s="75"/>
      <c r="G93" s="79"/>
      <c r="H93" s="75"/>
      <c r="I93" s="79"/>
      <c r="J93" s="75"/>
      <c r="K93" s="79"/>
      <c r="L93" s="75"/>
      <c r="M93" s="79"/>
      <c r="N93" s="75"/>
      <c r="O93" s="79"/>
      <c r="P93" s="75"/>
      <c r="Q93" s="79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"/>
      <c r="AE93" s="7"/>
      <c r="AF93" s="7"/>
    </row>
    <row r="94" ht="13.55" customHeight="1">
      <c r="A94" s="314"/>
      <c r="B94" s="315"/>
      <c r="C94" s="7"/>
      <c r="D94" s="7"/>
      <c r="E94" s="75"/>
      <c r="F94" s="75"/>
      <c r="G94" s="79"/>
      <c r="H94" s="75"/>
      <c r="I94" s="80"/>
      <c r="J94" s="75"/>
      <c r="K94" s="79"/>
      <c r="L94" s="75"/>
      <c r="M94" s="80"/>
      <c r="N94" s="75"/>
      <c r="O94" s="80"/>
      <c r="P94" s="75"/>
      <c r="Q94" s="80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"/>
      <c r="AE94" s="7"/>
      <c r="AF94" s="7"/>
    </row>
    <row r="95" ht="13.55" customHeight="1">
      <c r="A95" s="314"/>
      <c r="B95" s="31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3.55" customHeight="1">
      <c r="A96" s="314"/>
      <c r="B96" s="315"/>
      <c r="C96" s="7"/>
      <c r="D96" s="7"/>
      <c r="E96" s="75"/>
      <c r="F96" s="75"/>
      <c r="G96" s="7"/>
      <c r="H96" s="75"/>
      <c r="I96" s="7"/>
      <c r="J96" s="75"/>
      <c r="K96" s="7"/>
      <c r="L96" s="75"/>
      <c r="M96" s="7"/>
      <c r="N96" s="75"/>
      <c r="O96" s="7"/>
      <c r="P96" s="75"/>
      <c r="Q96" s="7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"/>
      <c r="AE96" s="7"/>
      <c r="AF96" s="7"/>
    </row>
    <row r="97" ht="13.55" customHeight="1">
      <c r="A97" s="314"/>
      <c r="B97" s="315"/>
      <c r="C97" s="7"/>
      <c r="D97" s="7"/>
      <c r="E97" s="75"/>
      <c r="F97" s="75"/>
      <c r="G97" s="79"/>
      <c r="H97" s="75"/>
      <c r="I97" s="79"/>
      <c r="J97" s="75"/>
      <c r="K97" s="79"/>
      <c r="L97" s="75"/>
      <c r="M97" s="79"/>
      <c r="N97" s="75"/>
      <c r="O97" s="79"/>
      <c r="P97" s="75"/>
      <c r="Q97" s="79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"/>
      <c r="AE97" s="7"/>
      <c r="AF97" s="7"/>
    </row>
    <row r="98" ht="13.55" customHeight="1">
      <c r="A98" s="314"/>
      <c r="B98" s="315"/>
      <c r="C98" s="7"/>
      <c r="D98" s="7"/>
      <c r="E98" s="75"/>
      <c r="F98" s="75"/>
      <c r="G98" s="80"/>
      <c r="H98" s="75"/>
      <c r="I98" s="80"/>
      <c r="J98" s="75"/>
      <c r="K98" s="79"/>
      <c r="L98" s="75"/>
      <c r="M98" s="80"/>
      <c r="N98" s="75"/>
      <c r="O98" s="80"/>
      <c r="P98" s="75"/>
      <c r="Q98" s="81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"/>
      <c r="AE98" s="7"/>
      <c r="AF98" s="7"/>
    </row>
    <row r="99" ht="13.55" customHeight="1">
      <c r="A99" s="314"/>
      <c r="B99" s="315"/>
      <c r="C99" s="7"/>
      <c r="D99" s="7"/>
      <c r="E99" s="75"/>
      <c r="F99" s="75"/>
      <c r="G99" s="79"/>
      <c r="H99" s="75"/>
      <c r="I99" s="7"/>
      <c r="J99" s="75"/>
      <c r="K99" s="79"/>
      <c r="L99" s="75"/>
      <c r="M99" s="7"/>
      <c r="N99" s="75"/>
      <c r="O99" s="7"/>
      <c r="P99" s="75"/>
      <c r="Q99" s="7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"/>
      <c r="AE99" s="7"/>
      <c r="AF99" s="7"/>
    </row>
    <row r="100" ht="13.55" customHeight="1">
      <c r="A100" s="314"/>
      <c r="B100" s="315"/>
      <c r="C100" s="7"/>
      <c r="D100" s="7"/>
      <c r="E100" s="75"/>
      <c r="F100" s="75"/>
      <c r="G100" s="79"/>
      <c r="H100" s="75"/>
      <c r="I100" s="79"/>
      <c r="J100" s="75"/>
      <c r="K100" s="79"/>
      <c r="L100" s="75"/>
      <c r="M100" s="79"/>
      <c r="N100" s="75"/>
      <c r="O100" s="79"/>
      <c r="P100" s="75"/>
      <c r="Q100" s="79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"/>
      <c r="AE100" s="7"/>
      <c r="AF100" s="7"/>
    </row>
    <row r="101" ht="13.55" customHeight="1">
      <c r="A101" s="314"/>
      <c r="B101" s="315"/>
      <c r="C101" s="7"/>
      <c r="D101" s="7"/>
      <c r="E101" s="75"/>
      <c r="F101" s="75"/>
      <c r="G101" s="79"/>
      <c r="H101" s="75"/>
      <c r="I101" s="80"/>
      <c r="J101" s="75"/>
      <c r="K101" s="79"/>
      <c r="L101" s="75"/>
      <c r="M101" s="80"/>
      <c r="N101" s="75"/>
      <c r="O101" s="80"/>
      <c r="P101" s="75"/>
      <c r="Q101" s="80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"/>
      <c r="AE101" s="7"/>
      <c r="AF101" s="7"/>
    </row>
    <row r="102" ht="13.55" customHeight="1">
      <c r="A102" s="314"/>
      <c r="B102" s="31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3.55" customHeight="1">
      <c r="A103" s="314"/>
      <c r="B103" s="315"/>
      <c r="C103" s="7"/>
      <c r="D103" s="7"/>
      <c r="E103" s="75"/>
      <c r="F103" s="75"/>
      <c r="G103" s="7"/>
      <c r="H103" s="75"/>
      <c r="I103" s="7"/>
      <c r="J103" s="75"/>
      <c r="K103" s="7"/>
      <c r="L103" s="75"/>
      <c r="M103" s="7"/>
      <c r="N103" s="75"/>
      <c r="O103" s="7"/>
      <c r="P103" s="75"/>
      <c r="Q103" s="7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"/>
      <c r="AE103" s="7"/>
      <c r="AF103" s="7"/>
    </row>
    <row r="104" ht="13.55" customHeight="1">
      <c r="A104" s="314"/>
      <c r="B104" s="315"/>
      <c r="C104" s="7"/>
      <c r="D104" s="7"/>
      <c r="E104" s="75"/>
      <c r="F104" s="75"/>
      <c r="G104" s="79"/>
      <c r="H104" s="75"/>
      <c r="I104" s="79"/>
      <c r="J104" s="75"/>
      <c r="K104" s="79"/>
      <c r="L104" s="75"/>
      <c r="M104" s="79"/>
      <c r="N104" s="75"/>
      <c r="O104" s="79"/>
      <c r="P104" s="75"/>
      <c r="Q104" s="79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"/>
      <c r="AE104" s="7"/>
      <c r="AF104" s="7"/>
    </row>
    <row r="105" ht="13.55" customHeight="1">
      <c r="A105" s="314"/>
      <c r="B105" s="315"/>
      <c r="C105" s="7"/>
      <c r="D105" s="7"/>
      <c r="E105" s="75"/>
      <c r="F105" s="75"/>
      <c r="G105" s="80"/>
      <c r="H105" s="75"/>
      <c r="I105" s="80"/>
      <c r="J105" s="75"/>
      <c r="K105" s="79"/>
      <c r="L105" s="75"/>
      <c r="M105" s="80"/>
      <c r="N105" s="75"/>
      <c r="O105" s="80"/>
      <c r="P105" s="75"/>
      <c r="Q105" s="81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"/>
      <c r="AE105" s="7"/>
      <c r="AF105" s="7"/>
    </row>
    <row r="106" ht="13.55" customHeight="1">
      <c r="A106" s="314"/>
      <c r="B106" s="315"/>
      <c r="C106" s="7"/>
      <c r="D106" s="7"/>
      <c r="E106" s="75"/>
      <c r="F106" s="75"/>
      <c r="G106" s="79"/>
      <c r="H106" s="75"/>
      <c r="I106" s="7"/>
      <c r="J106" s="75"/>
      <c r="K106" s="79"/>
      <c r="L106" s="75"/>
      <c r="M106" s="7"/>
      <c r="N106" s="75"/>
      <c r="O106" s="7"/>
      <c r="P106" s="75"/>
      <c r="Q106" s="7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"/>
      <c r="AE106" s="7"/>
      <c r="AF106" s="7"/>
    </row>
    <row r="107" ht="13.55" customHeight="1">
      <c r="A107" s="314"/>
      <c r="B107" s="315"/>
      <c r="C107" s="7"/>
      <c r="D107" s="7"/>
      <c r="E107" s="75"/>
      <c r="F107" s="75"/>
      <c r="G107" s="79"/>
      <c r="H107" s="75"/>
      <c r="I107" s="79"/>
      <c r="J107" s="75"/>
      <c r="K107" s="79"/>
      <c r="L107" s="75"/>
      <c r="M107" s="79"/>
      <c r="N107" s="75"/>
      <c r="O107" s="79"/>
      <c r="P107" s="75"/>
      <c r="Q107" s="79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"/>
      <c r="AE107" s="7"/>
      <c r="AF107" s="7"/>
    </row>
    <row r="108" ht="13.55" customHeight="1">
      <c r="A108" s="314"/>
      <c r="B108" s="315"/>
      <c r="C108" s="7"/>
      <c r="D108" s="7"/>
      <c r="E108" s="75"/>
      <c r="F108" s="75"/>
      <c r="G108" s="79"/>
      <c r="H108" s="75"/>
      <c r="I108" s="80"/>
      <c r="J108" s="75"/>
      <c r="K108" s="79"/>
      <c r="L108" s="75"/>
      <c r="M108" s="80"/>
      <c r="N108" s="75"/>
      <c r="O108" s="80"/>
      <c r="P108" s="75"/>
      <c r="Q108" s="80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"/>
      <c r="AE108" s="7"/>
      <c r="AF108" s="7"/>
    </row>
    <row r="109" ht="13.55" customHeight="1">
      <c r="A109" s="314"/>
      <c r="B109" s="31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3.55" customHeight="1">
      <c r="A110" s="314"/>
      <c r="B110" s="315"/>
      <c r="C110" s="7"/>
      <c r="D110" s="7"/>
      <c r="E110" s="75"/>
      <c r="F110" s="75"/>
      <c r="G110" s="7"/>
      <c r="H110" s="75"/>
      <c r="I110" s="7"/>
      <c r="J110" s="75"/>
      <c r="K110" s="7"/>
      <c r="L110" s="75"/>
      <c r="M110" s="7"/>
      <c r="N110" s="75"/>
      <c r="O110" s="7"/>
      <c r="P110" s="75"/>
      <c r="Q110" s="7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"/>
      <c r="AE110" s="7"/>
      <c r="AF110" s="7"/>
    </row>
    <row r="111" ht="13.55" customHeight="1">
      <c r="A111" s="314"/>
      <c r="B111" s="315"/>
      <c r="C111" s="7"/>
      <c r="D111" s="7"/>
      <c r="E111" s="75"/>
      <c r="F111" s="75"/>
      <c r="G111" s="79"/>
      <c r="H111" s="75"/>
      <c r="I111" s="79"/>
      <c r="J111" s="75"/>
      <c r="K111" s="79"/>
      <c r="L111" s="75"/>
      <c r="M111" s="79"/>
      <c r="N111" s="75"/>
      <c r="O111" s="79"/>
      <c r="P111" s="75"/>
      <c r="Q111" s="79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"/>
      <c r="AE111" s="7"/>
      <c r="AF111" s="7"/>
    </row>
    <row r="112" ht="13.55" customHeight="1">
      <c r="A112" s="314"/>
      <c r="B112" s="315"/>
      <c r="C112" s="7"/>
      <c r="D112" s="7"/>
      <c r="E112" s="75"/>
      <c r="F112" s="75"/>
      <c r="G112" s="80"/>
      <c r="H112" s="75"/>
      <c r="I112" s="80"/>
      <c r="J112" s="75"/>
      <c r="K112" s="79"/>
      <c r="L112" s="75"/>
      <c r="M112" s="80"/>
      <c r="N112" s="75"/>
      <c r="O112" s="80"/>
      <c r="P112" s="75"/>
      <c r="Q112" s="81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"/>
      <c r="AE112" s="7"/>
      <c r="AF112" s="7"/>
    </row>
    <row r="113" ht="13.55" customHeight="1">
      <c r="A113" s="314"/>
      <c r="B113" s="315"/>
      <c r="C113" s="7"/>
      <c r="D113" s="7"/>
      <c r="E113" s="75"/>
      <c r="F113" s="75"/>
      <c r="G113" s="79"/>
      <c r="H113" s="75"/>
      <c r="I113" s="7"/>
      <c r="J113" s="75"/>
      <c r="K113" s="79"/>
      <c r="L113" s="75"/>
      <c r="M113" s="7"/>
      <c r="N113" s="75"/>
      <c r="O113" s="7"/>
      <c r="P113" s="75"/>
      <c r="Q113" s="7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"/>
      <c r="AE113" s="7"/>
      <c r="AF113" s="7"/>
    </row>
    <row r="114" ht="13.55" customHeight="1">
      <c r="A114" s="314"/>
      <c r="B114" s="315"/>
      <c r="C114" s="7"/>
      <c r="D114" s="7"/>
      <c r="E114" s="75"/>
      <c r="F114" s="75"/>
      <c r="G114" s="79"/>
      <c r="H114" s="75"/>
      <c r="I114" s="79"/>
      <c r="J114" s="75"/>
      <c r="K114" s="79"/>
      <c r="L114" s="75"/>
      <c r="M114" s="79"/>
      <c r="N114" s="75"/>
      <c r="O114" s="79"/>
      <c r="P114" s="75"/>
      <c r="Q114" s="79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"/>
      <c r="AE114" s="7"/>
      <c r="AF114" s="7"/>
    </row>
    <row r="115" ht="13.55" customHeight="1">
      <c r="A115" s="314"/>
      <c r="B115" s="315"/>
      <c r="C115" s="7"/>
      <c r="D115" s="7"/>
      <c r="E115" s="75"/>
      <c r="F115" s="75"/>
      <c r="G115" s="79"/>
      <c r="H115" s="75"/>
      <c r="I115" s="80"/>
      <c r="J115" s="75"/>
      <c r="K115" s="79"/>
      <c r="L115" s="75"/>
      <c r="M115" s="80"/>
      <c r="N115" s="75"/>
      <c r="O115" s="80"/>
      <c r="P115" s="75"/>
      <c r="Q115" s="80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"/>
      <c r="AE115" s="7"/>
      <c r="AF115" s="7"/>
    </row>
    <row r="116" ht="13.55" customHeight="1">
      <c r="A116" s="314"/>
      <c r="B116" s="31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3.55" customHeight="1">
      <c r="A117" s="314"/>
      <c r="B117" s="315"/>
      <c r="C117" s="7"/>
      <c r="D117" s="7"/>
      <c r="E117" s="75"/>
      <c r="F117" s="75"/>
      <c r="G117" s="7"/>
      <c r="H117" s="75"/>
      <c r="I117" s="7"/>
      <c r="J117" s="75"/>
      <c r="K117" s="7"/>
      <c r="L117" s="75"/>
      <c r="M117" s="7"/>
      <c r="N117" s="75"/>
      <c r="O117" s="7"/>
      <c r="P117" s="75"/>
      <c r="Q117" s="7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"/>
      <c r="AE117" s="7"/>
      <c r="AF117" s="7"/>
    </row>
    <row r="118" ht="13.55" customHeight="1">
      <c r="A118" s="314"/>
      <c r="B118" s="315"/>
      <c r="C118" s="7"/>
      <c r="D118" s="7"/>
      <c r="E118" s="75"/>
      <c r="F118" s="75"/>
      <c r="G118" s="79"/>
      <c r="H118" s="75"/>
      <c r="I118" s="79"/>
      <c r="J118" s="75"/>
      <c r="K118" s="79"/>
      <c r="L118" s="75"/>
      <c r="M118" s="79"/>
      <c r="N118" s="75"/>
      <c r="O118" s="79"/>
      <c r="P118" s="75"/>
      <c r="Q118" s="79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"/>
      <c r="AE118" s="7"/>
      <c r="AF118" s="7"/>
    </row>
    <row r="119" ht="13.55" customHeight="1">
      <c r="A119" s="314"/>
      <c r="B119" s="315"/>
      <c r="C119" s="7"/>
      <c r="D119" s="7"/>
      <c r="E119" s="75"/>
      <c r="F119" s="75"/>
      <c r="G119" s="80"/>
      <c r="H119" s="75"/>
      <c r="I119" s="80"/>
      <c r="J119" s="75"/>
      <c r="K119" s="79"/>
      <c r="L119" s="75"/>
      <c r="M119" s="80"/>
      <c r="N119" s="75"/>
      <c r="O119" s="80"/>
      <c r="P119" s="75"/>
      <c r="Q119" s="81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"/>
      <c r="AE119" s="7"/>
      <c r="AF119" s="7"/>
    </row>
    <row r="120" ht="13.55" customHeight="1">
      <c r="A120" s="314"/>
      <c r="B120" s="315"/>
      <c r="C120" s="7"/>
      <c r="D120" s="7"/>
      <c r="E120" s="75"/>
      <c r="F120" s="75"/>
      <c r="G120" s="79"/>
      <c r="H120" s="75"/>
      <c r="I120" s="7"/>
      <c r="J120" s="75"/>
      <c r="K120" s="79"/>
      <c r="L120" s="75"/>
      <c r="M120" s="7"/>
      <c r="N120" s="75"/>
      <c r="O120" s="7"/>
      <c r="P120" s="75"/>
      <c r="Q120" s="7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"/>
      <c r="AE120" s="7"/>
      <c r="AF120" s="7"/>
    </row>
    <row r="121" ht="13.55" customHeight="1">
      <c r="A121" s="314"/>
      <c r="B121" s="315"/>
      <c r="C121" s="7"/>
      <c r="D121" s="7"/>
      <c r="E121" s="75"/>
      <c r="F121" s="75"/>
      <c r="G121" s="79"/>
      <c r="H121" s="75"/>
      <c r="I121" s="79"/>
      <c r="J121" s="75"/>
      <c r="K121" s="79"/>
      <c r="L121" s="75"/>
      <c r="M121" s="79"/>
      <c r="N121" s="75"/>
      <c r="O121" s="79"/>
      <c r="P121" s="75"/>
      <c r="Q121" s="79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"/>
      <c r="AE121" s="7"/>
      <c r="AF121" s="7"/>
    </row>
    <row r="122" ht="13.55" customHeight="1">
      <c r="A122" s="314"/>
      <c r="B122" s="315"/>
      <c r="C122" s="7"/>
      <c r="D122" s="7"/>
      <c r="E122" s="75"/>
      <c r="F122" s="75"/>
      <c r="G122" s="79"/>
      <c r="H122" s="75"/>
      <c r="I122" s="80"/>
      <c r="J122" s="75"/>
      <c r="K122" s="79"/>
      <c r="L122" s="75"/>
      <c r="M122" s="80"/>
      <c r="N122" s="75"/>
      <c r="O122" s="80"/>
      <c r="P122" s="75"/>
      <c r="Q122" s="80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"/>
      <c r="AE122" s="7"/>
      <c r="AF122" s="7"/>
    </row>
    <row r="123" ht="13.55" customHeight="1">
      <c r="A123" s="314"/>
      <c r="B123" s="31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3.55" customHeight="1">
      <c r="A124" s="314"/>
      <c r="B124" s="315"/>
      <c r="C124" s="7"/>
      <c r="D124" s="7"/>
      <c r="E124" s="75"/>
      <c r="F124" s="75"/>
      <c r="G124" s="7"/>
      <c r="H124" s="75"/>
      <c r="I124" s="7"/>
      <c r="J124" s="75"/>
      <c r="K124" s="7"/>
      <c r="L124" s="75"/>
      <c r="M124" s="7"/>
      <c r="N124" s="75"/>
      <c r="O124" s="7"/>
      <c r="P124" s="75"/>
      <c r="Q124" s="7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"/>
      <c r="AE124" s="7"/>
      <c r="AF124" s="7"/>
    </row>
    <row r="125" ht="13.55" customHeight="1">
      <c r="A125" s="314"/>
      <c r="B125" s="315"/>
      <c r="C125" s="7"/>
      <c r="D125" s="7"/>
      <c r="E125" s="75"/>
      <c r="F125" s="75"/>
      <c r="G125" s="79"/>
      <c r="H125" s="75"/>
      <c r="I125" s="79"/>
      <c r="J125" s="75"/>
      <c r="K125" s="79"/>
      <c r="L125" s="75"/>
      <c r="M125" s="79"/>
      <c r="N125" s="75"/>
      <c r="O125" s="79"/>
      <c r="P125" s="75"/>
      <c r="Q125" s="79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"/>
      <c r="AE125" s="7"/>
      <c r="AF125" s="7"/>
    </row>
    <row r="126" ht="13.55" customHeight="1">
      <c r="A126" s="314"/>
      <c r="B126" s="315"/>
      <c r="C126" s="7"/>
      <c r="D126" s="7"/>
      <c r="E126" s="75"/>
      <c r="F126" s="75"/>
      <c r="G126" s="80"/>
      <c r="H126" s="75"/>
      <c r="I126" s="80"/>
      <c r="J126" s="75"/>
      <c r="K126" s="79"/>
      <c r="L126" s="75"/>
      <c r="M126" s="80"/>
      <c r="N126" s="75"/>
      <c r="O126" s="80"/>
      <c r="P126" s="75"/>
      <c r="Q126" s="81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"/>
      <c r="AE126" s="7"/>
      <c r="AF126" s="7"/>
    </row>
    <row r="127" ht="13.55" customHeight="1">
      <c r="A127" s="314"/>
      <c r="B127" s="315"/>
      <c r="C127" s="7"/>
      <c r="D127" s="7"/>
      <c r="E127" s="75"/>
      <c r="F127" s="75"/>
      <c r="G127" s="79"/>
      <c r="H127" s="75"/>
      <c r="I127" s="7"/>
      <c r="J127" s="75"/>
      <c r="K127" s="79"/>
      <c r="L127" s="75"/>
      <c r="M127" s="7"/>
      <c r="N127" s="75"/>
      <c r="O127" s="7"/>
      <c r="P127" s="75"/>
      <c r="Q127" s="7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"/>
      <c r="AE127" s="7"/>
      <c r="AF127" s="7"/>
    </row>
    <row r="128" ht="13.55" customHeight="1">
      <c r="A128" s="314"/>
      <c r="B128" s="315"/>
      <c r="C128" s="7"/>
      <c r="D128" s="7"/>
      <c r="E128" s="75"/>
      <c r="F128" s="75"/>
      <c r="G128" s="79"/>
      <c r="H128" s="75"/>
      <c r="I128" s="79"/>
      <c r="J128" s="75"/>
      <c r="K128" s="79"/>
      <c r="L128" s="75"/>
      <c r="M128" s="79"/>
      <c r="N128" s="75"/>
      <c r="O128" s="79"/>
      <c r="P128" s="75"/>
      <c r="Q128" s="79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"/>
      <c r="AE128" s="7"/>
      <c r="AF128" s="7"/>
    </row>
    <row r="129" ht="13.55" customHeight="1">
      <c r="A129" s="314"/>
      <c r="B129" s="315"/>
      <c r="C129" s="7"/>
      <c r="D129" s="7"/>
      <c r="E129" s="75"/>
      <c r="F129" s="75"/>
      <c r="G129" s="79"/>
      <c r="H129" s="75"/>
      <c r="I129" s="80"/>
      <c r="J129" s="75"/>
      <c r="K129" s="79"/>
      <c r="L129" s="75"/>
      <c r="M129" s="80"/>
      <c r="N129" s="75"/>
      <c r="O129" s="80"/>
      <c r="P129" s="75"/>
      <c r="Q129" s="80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"/>
      <c r="AE129" s="7"/>
      <c r="AF129" s="7"/>
    </row>
    <row r="130" ht="13.55" customHeight="1">
      <c r="A130" s="314"/>
      <c r="B130" s="31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3.55" customHeight="1">
      <c r="A131" s="314"/>
      <c r="B131" s="315"/>
      <c r="C131" s="7"/>
      <c r="D131" s="7"/>
      <c r="E131" s="75"/>
      <c r="F131" s="75"/>
      <c r="G131" s="7"/>
      <c r="H131" s="75"/>
      <c r="I131" s="7"/>
      <c r="J131" s="75"/>
      <c r="K131" s="7"/>
      <c r="L131" s="75"/>
      <c r="M131" s="7"/>
      <c r="N131" s="75"/>
      <c r="O131" s="7"/>
      <c r="P131" s="75"/>
      <c r="Q131" s="7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"/>
      <c r="AE131" s="7"/>
      <c r="AF131" s="7"/>
    </row>
    <row r="132" ht="13.55" customHeight="1">
      <c r="A132" s="314"/>
      <c r="B132" s="315"/>
      <c r="C132" s="7"/>
      <c r="D132" s="7"/>
      <c r="E132" s="75"/>
      <c r="F132" s="75"/>
      <c r="G132" s="79"/>
      <c r="H132" s="75"/>
      <c r="I132" s="79"/>
      <c r="J132" s="75"/>
      <c r="K132" s="79"/>
      <c r="L132" s="75"/>
      <c r="M132" s="79"/>
      <c r="N132" s="75"/>
      <c r="O132" s="79"/>
      <c r="P132" s="75"/>
      <c r="Q132" s="79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"/>
      <c r="AE132" s="7"/>
      <c r="AF132" s="7"/>
    </row>
    <row r="133" ht="13.55" customHeight="1">
      <c r="A133" s="314"/>
      <c r="B133" s="315"/>
      <c r="C133" s="7"/>
      <c r="D133" s="7"/>
      <c r="E133" s="75"/>
      <c r="F133" s="75"/>
      <c r="G133" s="80"/>
      <c r="H133" s="75"/>
      <c r="I133" s="80"/>
      <c r="J133" s="75"/>
      <c r="K133" s="79"/>
      <c r="L133" s="75"/>
      <c r="M133" s="80"/>
      <c r="N133" s="75"/>
      <c r="O133" s="80"/>
      <c r="P133" s="75"/>
      <c r="Q133" s="81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"/>
      <c r="AE133" s="7"/>
      <c r="AF133" s="7"/>
    </row>
    <row r="134" ht="13.55" customHeight="1">
      <c r="A134" s="314"/>
      <c r="B134" s="315"/>
      <c r="C134" s="7"/>
      <c r="D134" s="7"/>
      <c r="E134" s="75"/>
      <c r="F134" s="75"/>
      <c r="G134" s="79"/>
      <c r="H134" s="75"/>
      <c r="I134" s="7"/>
      <c r="J134" s="75"/>
      <c r="K134" s="79"/>
      <c r="L134" s="75"/>
      <c r="M134" s="7"/>
      <c r="N134" s="75"/>
      <c r="O134" s="7"/>
      <c r="P134" s="75"/>
      <c r="Q134" s="7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"/>
      <c r="AE134" s="7"/>
      <c r="AF134" s="7"/>
    </row>
    <row r="135" ht="13.55" customHeight="1">
      <c r="A135" s="314"/>
      <c r="B135" s="315"/>
      <c r="C135" s="7"/>
      <c r="D135" s="7"/>
      <c r="E135" s="75"/>
      <c r="F135" s="75"/>
      <c r="G135" s="79"/>
      <c r="H135" s="75"/>
      <c r="I135" s="79"/>
      <c r="J135" s="75"/>
      <c r="K135" s="79"/>
      <c r="L135" s="75"/>
      <c r="M135" s="79"/>
      <c r="N135" s="75"/>
      <c r="O135" s="79"/>
      <c r="P135" s="75"/>
      <c r="Q135" s="79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"/>
      <c r="AE135" s="7"/>
      <c r="AF135" s="7"/>
    </row>
    <row r="136" ht="13.55" customHeight="1">
      <c r="A136" s="314"/>
      <c r="B136" s="315"/>
      <c r="C136" s="7"/>
      <c r="D136" s="7"/>
      <c r="E136" s="75"/>
      <c r="F136" s="75"/>
      <c r="G136" s="79"/>
      <c r="H136" s="75"/>
      <c r="I136" s="80"/>
      <c r="J136" s="75"/>
      <c r="K136" s="79"/>
      <c r="L136" s="75"/>
      <c r="M136" s="80"/>
      <c r="N136" s="75"/>
      <c r="O136" s="80"/>
      <c r="P136" s="75"/>
      <c r="Q136" s="80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"/>
      <c r="AE136" s="7"/>
      <c r="AF136" s="7"/>
    </row>
    <row r="137" ht="13.55" customHeight="1">
      <c r="A137" s="314"/>
      <c r="B137" s="31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3.55" customHeight="1">
      <c r="A138" s="314"/>
      <c r="B138" s="315"/>
      <c r="C138" s="7"/>
      <c r="D138" s="7"/>
      <c r="E138" s="75"/>
      <c r="F138" s="75"/>
      <c r="G138" s="7"/>
      <c r="H138" s="75"/>
      <c r="I138" s="7"/>
      <c r="J138" s="75"/>
      <c r="K138" s="7"/>
      <c r="L138" s="75"/>
      <c r="M138" s="7"/>
      <c r="N138" s="75"/>
      <c r="O138" s="7"/>
      <c r="P138" s="75"/>
      <c r="Q138" s="7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"/>
      <c r="AE138" s="7"/>
      <c r="AF138" s="7"/>
    </row>
    <row r="139" ht="13.55" customHeight="1">
      <c r="A139" s="314"/>
      <c r="B139" s="315"/>
      <c r="C139" s="7"/>
      <c r="D139" s="7"/>
      <c r="E139" s="75"/>
      <c r="F139" s="75"/>
      <c r="G139" s="79"/>
      <c r="H139" s="75"/>
      <c r="I139" s="79"/>
      <c r="J139" s="75"/>
      <c r="K139" s="79"/>
      <c r="L139" s="75"/>
      <c r="M139" s="79"/>
      <c r="N139" s="75"/>
      <c r="O139" s="79"/>
      <c r="P139" s="75"/>
      <c r="Q139" s="79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"/>
      <c r="AE139" s="7"/>
      <c r="AF139" s="7"/>
    </row>
    <row r="140" ht="13.55" customHeight="1">
      <c r="A140" s="314"/>
      <c r="B140" s="315"/>
      <c r="C140" s="7"/>
      <c r="D140" s="7"/>
      <c r="E140" s="75"/>
      <c r="F140" s="75"/>
      <c r="G140" s="80"/>
      <c r="H140" s="75"/>
      <c r="I140" s="80"/>
      <c r="J140" s="75"/>
      <c r="K140" s="79"/>
      <c r="L140" s="75"/>
      <c r="M140" s="80"/>
      <c r="N140" s="75"/>
      <c r="O140" s="80"/>
      <c r="P140" s="75"/>
      <c r="Q140" s="81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"/>
      <c r="AE140" s="7"/>
      <c r="AF140" s="7"/>
    </row>
    <row r="141" ht="13.55" customHeight="1">
      <c r="A141" s="314"/>
      <c r="B141" s="315"/>
      <c r="C141" s="7"/>
      <c r="D141" s="7"/>
      <c r="E141" s="75"/>
      <c r="F141" s="75"/>
      <c r="G141" s="79"/>
      <c r="H141" s="75"/>
      <c r="I141" s="7"/>
      <c r="J141" s="75"/>
      <c r="K141" s="79"/>
      <c r="L141" s="75"/>
      <c r="M141" s="7"/>
      <c r="N141" s="75"/>
      <c r="O141" s="7"/>
      <c r="P141" s="75"/>
      <c r="Q141" s="7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"/>
      <c r="AE141" s="7"/>
      <c r="AF141" s="7"/>
    </row>
    <row r="142" ht="13.55" customHeight="1">
      <c r="A142" s="314"/>
      <c r="B142" s="315"/>
      <c r="C142" s="7"/>
      <c r="D142" s="7"/>
      <c r="E142" s="75"/>
      <c r="F142" s="75"/>
      <c r="G142" s="79"/>
      <c r="H142" s="75"/>
      <c r="I142" s="79"/>
      <c r="J142" s="75"/>
      <c r="K142" s="79"/>
      <c r="L142" s="75"/>
      <c r="M142" s="79"/>
      <c r="N142" s="75"/>
      <c r="O142" s="79"/>
      <c r="P142" s="75"/>
      <c r="Q142" s="79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"/>
      <c r="AE142" s="7"/>
      <c r="AF142" s="7"/>
    </row>
    <row r="143" ht="13.55" customHeight="1">
      <c r="A143" s="314"/>
      <c r="B143" s="315"/>
      <c r="C143" s="7"/>
      <c r="D143" s="7"/>
      <c r="E143" s="75"/>
      <c r="F143" s="75"/>
      <c r="G143" s="79"/>
      <c r="H143" s="75"/>
      <c r="I143" s="80"/>
      <c r="J143" s="75"/>
      <c r="K143" s="79"/>
      <c r="L143" s="75"/>
      <c r="M143" s="80"/>
      <c r="N143" s="75"/>
      <c r="O143" s="80"/>
      <c r="P143" s="75"/>
      <c r="Q143" s="80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"/>
      <c r="AE143" s="7"/>
      <c r="AF143" s="7"/>
    </row>
    <row r="144" ht="13.55" customHeight="1">
      <c r="A144" s="314"/>
      <c r="B144" s="31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3.55" customHeight="1">
      <c r="A145" s="314"/>
      <c r="B145" s="315"/>
      <c r="C145" s="7"/>
      <c r="D145" s="7"/>
      <c r="E145" s="75"/>
      <c r="F145" s="75"/>
      <c r="G145" s="7"/>
      <c r="H145" s="75"/>
      <c r="I145" s="7"/>
      <c r="J145" s="75"/>
      <c r="K145" s="7"/>
      <c r="L145" s="75"/>
      <c r="M145" s="7"/>
      <c r="N145" s="75"/>
      <c r="O145" s="7"/>
      <c r="P145" s="75"/>
      <c r="Q145" s="7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"/>
      <c r="AE145" s="7"/>
      <c r="AF145" s="7"/>
    </row>
    <row r="146" ht="13.55" customHeight="1">
      <c r="A146" s="314"/>
      <c r="B146" s="315"/>
      <c r="C146" s="7"/>
      <c r="D146" s="7"/>
      <c r="E146" s="75"/>
      <c r="F146" s="75"/>
      <c r="G146" s="79"/>
      <c r="H146" s="75"/>
      <c r="I146" s="79"/>
      <c r="J146" s="75"/>
      <c r="K146" s="79"/>
      <c r="L146" s="75"/>
      <c r="M146" s="79"/>
      <c r="N146" s="75"/>
      <c r="O146" s="79"/>
      <c r="P146" s="75"/>
      <c r="Q146" s="79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"/>
      <c r="AE146" s="7"/>
      <c r="AF146" s="7"/>
    </row>
    <row r="147" ht="13.55" customHeight="1">
      <c r="A147" s="314"/>
      <c r="B147" s="315"/>
      <c r="C147" s="7"/>
      <c r="D147" s="7"/>
      <c r="E147" s="75"/>
      <c r="F147" s="75"/>
      <c r="G147" s="80"/>
      <c r="H147" s="75"/>
      <c r="I147" s="80"/>
      <c r="J147" s="75"/>
      <c r="K147" s="79"/>
      <c r="L147" s="75"/>
      <c r="M147" s="80"/>
      <c r="N147" s="75"/>
      <c r="O147" s="80"/>
      <c r="P147" s="75"/>
      <c r="Q147" s="81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"/>
      <c r="AE147" s="7"/>
      <c r="AF147" s="7"/>
    </row>
    <row r="148" ht="13.55" customHeight="1">
      <c r="A148" s="314"/>
      <c r="B148" s="315"/>
      <c r="C148" s="7"/>
      <c r="D148" s="7"/>
      <c r="E148" s="75"/>
      <c r="F148" s="75"/>
      <c r="G148" s="79"/>
      <c r="H148" s="75"/>
      <c r="I148" s="7"/>
      <c r="J148" s="75"/>
      <c r="K148" s="79"/>
      <c r="L148" s="75"/>
      <c r="M148" s="7"/>
      <c r="N148" s="75"/>
      <c r="O148" s="7"/>
      <c r="P148" s="75"/>
      <c r="Q148" s="7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"/>
      <c r="AE148" s="7"/>
      <c r="AF148" s="7"/>
    </row>
    <row r="149" ht="13.55" customHeight="1">
      <c r="A149" s="314"/>
      <c r="B149" s="315"/>
      <c r="C149" s="7"/>
      <c r="D149" s="7"/>
      <c r="E149" s="75"/>
      <c r="F149" s="75"/>
      <c r="G149" s="79"/>
      <c r="H149" s="75"/>
      <c r="I149" s="79"/>
      <c r="J149" s="75"/>
      <c r="K149" s="79"/>
      <c r="L149" s="75"/>
      <c r="M149" s="79"/>
      <c r="N149" s="75"/>
      <c r="O149" s="79"/>
      <c r="P149" s="75"/>
      <c r="Q149" s="79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"/>
      <c r="AE149" s="7"/>
      <c r="AF149" s="7"/>
    </row>
    <row r="150" ht="13.55" customHeight="1">
      <c r="A150" s="314"/>
      <c r="B150" s="315"/>
      <c r="C150" s="7"/>
      <c r="D150" s="7"/>
      <c r="E150" s="75"/>
      <c r="F150" s="75"/>
      <c r="G150" s="79"/>
      <c r="H150" s="75"/>
      <c r="I150" s="80"/>
      <c r="J150" s="75"/>
      <c r="K150" s="79"/>
      <c r="L150" s="75"/>
      <c r="M150" s="80"/>
      <c r="N150" s="75"/>
      <c r="O150" s="80"/>
      <c r="P150" s="75"/>
      <c r="Q150" s="80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"/>
      <c r="AE150" s="7"/>
      <c r="AF150" s="7"/>
    </row>
    <row r="151" ht="13.55" customHeight="1">
      <c r="A151" s="314"/>
      <c r="B151" s="3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3.55" customHeight="1">
      <c r="A152" s="314"/>
      <c r="B152" s="315"/>
      <c r="C152" s="7"/>
      <c r="D152" s="7"/>
      <c r="E152" s="75"/>
      <c r="F152" s="75"/>
      <c r="G152" s="7"/>
      <c r="H152" s="75"/>
      <c r="I152" s="7"/>
      <c r="J152" s="75"/>
      <c r="K152" s="7"/>
      <c r="L152" s="75"/>
      <c r="M152" s="7"/>
      <c r="N152" s="75"/>
      <c r="O152" s="7"/>
      <c r="P152" s="75"/>
      <c r="Q152" s="7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"/>
      <c r="AE152" s="7"/>
      <c r="AF152" s="7"/>
    </row>
    <row r="153" ht="13.55" customHeight="1">
      <c r="A153" s="314"/>
      <c r="B153" s="315"/>
      <c r="C153" s="7"/>
      <c r="D153" s="7"/>
      <c r="E153" s="75"/>
      <c r="F153" s="75"/>
      <c r="G153" s="79"/>
      <c r="H153" s="75"/>
      <c r="I153" s="79"/>
      <c r="J153" s="75"/>
      <c r="K153" s="79"/>
      <c r="L153" s="75"/>
      <c r="M153" s="79"/>
      <c r="N153" s="75"/>
      <c r="O153" s="79"/>
      <c r="P153" s="75"/>
      <c r="Q153" s="79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"/>
      <c r="AE153" s="7"/>
      <c r="AF153" s="7"/>
    </row>
    <row r="154" ht="13.55" customHeight="1">
      <c r="A154" s="314"/>
      <c r="B154" s="315"/>
      <c r="C154" s="7"/>
      <c r="D154" s="7"/>
      <c r="E154" s="75"/>
      <c r="F154" s="75"/>
      <c r="G154" s="80"/>
      <c r="H154" s="75"/>
      <c r="I154" s="80"/>
      <c r="J154" s="75"/>
      <c r="K154" s="79"/>
      <c r="L154" s="75"/>
      <c r="M154" s="80"/>
      <c r="N154" s="75"/>
      <c r="O154" s="80"/>
      <c r="P154" s="75"/>
      <c r="Q154" s="81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"/>
      <c r="AE154" s="7"/>
      <c r="AF154" s="7"/>
    </row>
    <row r="155" ht="13.55" customHeight="1">
      <c r="A155" s="314"/>
      <c r="B155" s="315"/>
      <c r="C155" s="7"/>
      <c r="D155" s="7"/>
      <c r="E155" s="75"/>
      <c r="F155" s="75"/>
      <c r="G155" s="79"/>
      <c r="H155" s="75"/>
      <c r="I155" s="7"/>
      <c r="J155" s="75"/>
      <c r="K155" s="79"/>
      <c r="L155" s="75"/>
      <c r="M155" s="7"/>
      <c r="N155" s="75"/>
      <c r="O155" s="7"/>
      <c r="P155" s="75"/>
      <c r="Q155" s="7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"/>
      <c r="AE155" s="7"/>
      <c r="AF155" s="7"/>
    </row>
    <row r="156" ht="13.55" customHeight="1">
      <c r="A156" s="314"/>
      <c r="B156" s="315"/>
      <c r="C156" s="7"/>
      <c r="D156" s="7"/>
      <c r="E156" s="75"/>
      <c r="F156" s="75"/>
      <c r="G156" s="79"/>
      <c r="H156" s="75"/>
      <c r="I156" s="79"/>
      <c r="J156" s="75"/>
      <c r="K156" s="79"/>
      <c r="L156" s="75"/>
      <c r="M156" s="79"/>
      <c r="N156" s="75"/>
      <c r="O156" s="79"/>
      <c r="P156" s="75"/>
      <c r="Q156" s="79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"/>
      <c r="AE156" s="7"/>
      <c r="AF156" s="7"/>
    </row>
    <row r="157" ht="13.55" customHeight="1">
      <c r="A157" s="314"/>
      <c r="B157" s="315"/>
      <c r="C157" s="7"/>
      <c r="D157" s="7"/>
      <c r="E157" s="75"/>
      <c r="F157" s="75"/>
      <c r="G157" s="79"/>
      <c r="H157" s="75"/>
      <c r="I157" s="80"/>
      <c r="J157" s="75"/>
      <c r="K157" s="79"/>
      <c r="L157" s="75"/>
      <c r="M157" s="80"/>
      <c r="N157" s="75"/>
      <c r="O157" s="80"/>
      <c r="P157" s="75"/>
      <c r="Q157" s="80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"/>
      <c r="AE157" s="7"/>
      <c r="AF157" s="7"/>
    </row>
    <row r="158" ht="13.55" customHeight="1">
      <c r="A158" s="314"/>
      <c r="B158" s="31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3.55" customHeight="1">
      <c r="A159" s="314"/>
      <c r="B159" s="315"/>
      <c r="C159" s="7"/>
      <c r="D159" s="7"/>
      <c r="E159" s="75"/>
      <c r="F159" s="75"/>
      <c r="G159" s="7"/>
      <c r="H159" s="75"/>
      <c r="I159" s="7"/>
      <c r="J159" s="75"/>
      <c r="K159" s="7"/>
      <c r="L159" s="75"/>
      <c r="M159" s="7"/>
      <c r="N159" s="75"/>
      <c r="O159" s="7"/>
      <c r="P159" s="75"/>
      <c r="Q159" s="7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"/>
      <c r="AE159" s="7"/>
      <c r="AF159" s="7"/>
    </row>
    <row r="160" ht="13.55" customHeight="1">
      <c r="A160" s="314"/>
      <c r="B160" s="315"/>
      <c r="C160" s="7"/>
      <c r="D160" s="7"/>
      <c r="E160" s="75"/>
      <c r="F160" s="75"/>
      <c r="G160" s="79"/>
      <c r="H160" s="75"/>
      <c r="I160" s="79"/>
      <c r="J160" s="75"/>
      <c r="K160" s="79"/>
      <c r="L160" s="75"/>
      <c r="M160" s="79"/>
      <c r="N160" s="75"/>
      <c r="O160" s="79"/>
      <c r="P160" s="75"/>
      <c r="Q160" s="79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"/>
      <c r="AE160" s="7"/>
      <c r="AF160" s="7"/>
    </row>
    <row r="161" ht="13.55" customHeight="1">
      <c r="A161" s="60"/>
      <c r="B161" s="7"/>
      <c r="C161" s="7"/>
      <c r="D161" s="7"/>
      <c r="E161" s="75"/>
      <c r="F161" s="75"/>
      <c r="G161" s="80"/>
      <c r="H161" s="75"/>
      <c r="I161" s="80"/>
      <c r="J161" s="75"/>
      <c r="K161" s="79"/>
      <c r="L161" s="75"/>
      <c r="M161" s="80"/>
      <c r="N161" s="75"/>
      <c r="O161" s="80"/>
      <c r="P161" s="75"/>
      <c r="Q161" s="81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"/>
      <c r="AE161" s="7"/>
      <c r="AF161" s="7"/>
    </row>
    <row r="162" ht="13.55" customHeight="1">
      <c r="A162" s="7"/>
      <c r="B162" s="7"/>
      <c r="C162" s="7"/>
      <c r="D162" s="7"/>
      <c r="E162" s="75"/>
      <c r="F162" s="75"/>
      <c r="G162" s="79"/>
      <c r="H162" s="75"/>
      <c r="I162" s="7"/>
      <c r="J162" s="75"/>
      <c r="K162" s="79"/>
      <c r="L162" s="75"/>
      <c r="M162" s="7"/>
      <c r="N162" s="75"/>
      <c r="O162" s="7"/>
      <c r="P162" s="75"/>
      <c r="Q162" s="7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"/>
      <c r="AE162" s="7"/>
      <c r="AF162" s="7"/>
    </row>
    <row r="163" ht="13.55" customHeight="1">
      <c r="A163" s="7"/>
      <c r="B163" s="7"/>
      <c r="C163" s="7"/>
      <c r="D163" s="7"/>
      <c r="E163" s="75"/>
      <c r="F163" s="75"/>
      <c r="G163" s="79"/>
      <c r="H163" s="75"/>
      <c r="I163" s="79"/>
      <c r="J163" s="75"/>
      <c r="K163" s="79"/>
      <c r="L163" s="75"/>
      <c r="M163" s="79"/>
      <c r="N163" s="75"/>
      <c r="O163" s="79"/>
      <c r="P163" s="75"/>
      <c r="Q163" s="79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"/>
      <c r="AE163" s="7"/>
      <c r="AF163" s="7"/>
    </row>
    <row r="164" ht="13.55" customHeight="1">
      <c r="A164" s="7"/>
      <c r="B164" s="7"/>
      <c r="C164" s="7"/>
      <c r="D164" s="7"/>
      <c r="E164" s="75"/>
      <c r="F164" s="75"/>
      <c r="G164" s="79"/>
      <c r="H164" s="75"/>
      <c r="I164" s="80"/>
      <c r="J164" s="75"/>
      <c r="K164" s="79"/>
      <c r="L164" s="75"/>
      <c r="M164" s="80"/>
      <c r="N164" s="75"/>
      <c r="O164" s="80"/>
      <c r="P164" s="75"/>
      <c r="Q164" s="80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"/>
      <c r="AE164" s="7"/>
      <c r="AF164" s="7"/>
    </row>
    <row r="165" ht="13.5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3.55" customHeight="1">
      <c r="A166" s="7"/>
      <c r="B166" s="7"/>
      <c r="C166" s="7"/>
      <c r="D166" s="7"/>
      <c r="E166" s="75"/>
      <c r="F166" s="75"/>
      <c r="G166" s="7"/>
      <c r="H166" s="75"/>
      <c r="I166" s="7"/>
      <c r="J166" s="75"/>
      <c r="K166" s="7"/>
      <c r="L166" s="75"/>
      <c r="M166" s="7"/>
      <c r="N166" s="75"/>
      <c r="O166" s="7"/>
      <c r="P166" s="75"/>
      <c r="Q166" s="7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"/>
      <c r="AE166" s="7"/>
      <c r="AF166" s="7"/>
    </row>
    <row r="167" ht="13.55" customHeight="1">
      <c r="A167" s="7"/>
      <c r="B167" s="7"/>
      <c r="C167" s="7"/>
      <c r="D167" s="7"/>
      <c r="E167" s="75"/>
      <c r="F167" s="75"/>
      <c r="G167" s="79"/>
      <c r="H167" s="75"/>
      <c r="I167" s="79"/>
      <c r="J167" s="75"/>
      <c r="K167" s="79"/>
      <c r="L167" s="75"/>
      <c r="M167" s="79"/>
      <c r="N167" s="75"/>
      <c r="O167" s="79"/>
      <c r="P167" s="75"/>
      <c r="Q167" s="79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"/>
      <c r="AE167" s="7"/>
      <c r="AF167" s="7"/>
    </row>
    <row r="168" ht="13.55" customHeight="1">
      <c r="A168" s="7"/>
      <c r="B168" s="7"/>
      <c r="C168" s="7"/>
      <c r="D168" s="7"/>
      <c r="E168" s="75"/>
      <c r="F168" s="75"/>
      <c r="G168" s="80"/>
      <c r="H168" s="75"/>
      <c r="I168" s="80"/>
      <c r="J168" s="75"/>
      <c r="K168" s="79"/>
      <c r="L168" s="75"/>
      <c r="M168" s="80"/>
      <c r="N168" s="75"/>
      <c r="O168" s="80"/>
      <c r="P168" s="75"/>
      <c r="Q168" s="81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"/>
      <c r="AE168" s="7"/>
      <c r="AF168" s="7"/>
    </row>
    <row r="169" ht="13.55" customHeight="1">
      <c r="A169" s="7"/>
      <c r="B169" s="7"/>
      <c r="C169" s="7"/>
      <c r="D169" s="7"/>
      <c r="E169" s="75"/>
      <c r="F169" s="75"/>
      <c r="G169" s="79"/>
      <c r="H169" s="75"/>
      <c r="I169" s="7"/>
      <c r="J169" s="75"/>
      <c r="K169" s="79"/>
      <c r="L169" s="75"/>
      <c r="M169" s="7"/>
      <c r="N169" s="75"/>
      <c r="O169" s="7"/>
      <c r="P169" s="75"/>
      <c r="Q169" s="7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"/>
      <c r="AE169" s="7"/>
      <c r="AF169" s="7"/>
    </row>
    <row r="170" ht="13.55" customHeight="1">
      <c r="A170" s="7"/>
      <c r="B170" s="7"/>
      <c r="C170" s="7"/>
      <c r="D170" s="7"/>
      <c r="E170" s="75"/>
      <c r="F170" s="75"/>
      <c r="G170" s="79"/>
      <c r="H170" s="75"/>
      <c r="I170" s="79"/>
      <c r="J170" s="75"/>
      <c r="K170" s="79"/>
      <c r="L170" s="75"/>
      <c r="M170" s="79"/>
      <c r="N170" s="75"/>
      <c r="O170" s="79"/>
      <c r="P170" s="75"/>
      <c r="Q170" s="79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"/>
      <c r="AE170" s="7"/>
      <c r="AF170" s="7"/>
    </row>
    <row r="171" ht="13.55" customHeight="1">
      <c r="A171" s="7"/>
      <c r="B171" s="7"/>
      <c r="C171" s="7"/>
      <c r="D171" s="7"/>
      <c r="E171" s="75"/>
      <c r="F171" s="75"/>
      <c r="G171" s="79"/>
      <c r="H171" s="75"/>
      <c r="I171" s="80"/>
      <c r="J171" s="75"/>
      <c r="K171" s="79"/>
      <c r="L171" s="75"/>
      <c r="M171" s="80"/>
      <c r="N171" s="75"/>
      <c r="O171" s="80"/>
      <c r="P171" s="75"/>
      <c r="Q171" s="80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"/>
      <c r="AE171" s="7"/>
      <c r="AF171" s="7"/>
    </row>
    <row r="172" ht="13.5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3.55" customHeight="1">
      <c r="A173" s="7"/>
      <c r="B173" s="7"/>
      <c r="C173" s="7"/>
      <c r="D173" s="7"/>
      <c r="E173" s="75"/>
      <c r="F173" s="75"/>
      <c r="G173" s="7"/>
      <c r="H173" s="75"/>
      <c r="I173" s="7"/>
      <c r="J173" s="75"/>
      <c r="K173" s="7"/>
      <c r="L173" s="75"/>
      <c r="M173" s="7"/>
      <c r="N173" s="75"/>
      <c r="O173" s="7"/>
      <c r="P173" s="75"/>
      <c r="Q173" s="7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"/>
      <c r="AE173" s="7"/>
      <c r="AF173" s="7"/>
    </row>
    <row r="174" ht="13.55" customHeight="1">
      <c r="A174" s="7"/>
      <c r="B174" s="7"/>
      <c r="C174" s="7"/>
      <c r="D174" s="7"/>
      <c r="E174" s="75"/>
      <c r="F174" s="75"/>
      <c r="G174" s="79"/>
      <c r="H174" s="75"/>
      <c r="I174" s="79"/>
      <c r="J174" s="75"/>
      <c r="K174" s="79"/>
      <c r="L174" s="75"/>
      <c r="M174" s="79"/>
      <c r="N174" s="75"/>
      <c r="O174" s="79"/>
      <c r="P174" s="75"/>
      <c r="Q174" s="79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"/>
      <c r="AE174" s="7"/>
      <c r="AF174" s="7"/>
    </row>
    <row r="175" ht="13.55" customHeight="1">
      <c r="A175" s="7"/>
      <c r="B175" s="7"/>
      <c r="C175" s="7"/>
      <c r="D175" s="7"/>
      <c r="E175" s="75"/>
      <c r="F175" s="75"/>
      <c r="G175" s="80"/>
      <c r="H175" s="75"/>
      <c r="I175" s="80"/>
      <c r="J175" s="75"/>
      <c r="K175" s="79"/>
      <c r="L175" s="75"/>
      <c r="M175" s="80"/>
      <c r="N175" s="75"/>
      <c r="O175" s="80"/>
      <c r="P175" s="75"/>
      <c r="Q175" s="81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"/>
      <c r="AE175" s="7"/>
      <c r="AF175" s="7"/>
    </row>
    <row r="176" ht="13.55" customHeight="1">
      <c r="A176" s="7"/>
      <c r="B176" s="7"/>
      <c r="C176" s="7"/>
      <c r="D176" s="7"/>
      <c r="E176" s="75"/>
      <c r="F176" s="75"/>
      <c r="G176" s="79"/>
      <c r="H176" s="75"/>
      <c r="I176" s="7"/>
      <c r="J176" s="75"/>
      <c r="K176" s="79"/>
      <c r="L176" s="75"/>
      <c r="M176" s="7"/>
      <c r="N176" s="75"/>
      <c r="O176" s="7"/>
      <c r="P176" s="75"/>
      <c r="Q176" s="7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"/>
      <c r="AE176" s="7"/>
      <c r="AF176" s="7"/>
    </row>
    <row r="177" ht="13.55" customHeight="1">
      <c r="A177" s="7"/>
      <c r="B177" s="7"/>
      <c r="C177" s="7"/>
      <c r="D177" s="7"/>
      <c r="E177" s="75"/>
      <c r="F177" s="75"/>
      <c r="G177" s="79"/>
      <c r="H177" s="75"/>
      <c r="I177" s="79"/>
      <c r="J177" s="75"/>
      <c r="K177" s="79"/>
      <c r="L177" s="75"/>
      <c r="M177" s="79"/>
      <c r="N177" s="75"/>
      <c r="O177" s="79"/>
      <c r="P177" s="75"/>
      <c r="Q177" s="79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"/>
      <c r="AE177" s="7"/>
      <c r="AF177" s="7"/>
    </row>
    <row r="178" ht="13.55" customHeight="1">
      <c r="A178" s="7"/>
      <c r="B178" s="7"/>
      <c r="C178" s="7"/>
      <c r="D178" s="7"/>
      <c r="E178" s="75"/>
      <c r="F178" s="75"/>
      <c r="G178" s="79"/>
      <c r="H178" s="75"/>
      <c r="I178" s="80"/>
      <c r="J178" s="75"/>
      <c r="K178" s="79"/>
      <c r="L178" s="75"/>
      <c r="M178" s="80"/>
      <c r="N178" s="75"/>
      <c r="O178" s="80"/>
      <c r="P178" s="75"/>
      <c r="Q178" s="80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"/>
      <c r="AE178" s="7"/>
      <c r="AF178" s="7"/>
    </row>
    <row r="179" ht="13.5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3.55" customHeight="1">
      <c r="A180" s="7"/>
      <c r="B180" s="7"/>
      <c r="C180" s="7"/>
      <c r="D180" s="7"/>
      <c r="E180" s="75"/>
      <c r="F180" s="75"/>
      <c r="G180" s="7"/>
      <c r="H180" s="75"/>
      <c r="I180" s="7"/>
      <c r="J180" s="75"/>
      <c r="K180" s="7"/>
      <c r="L180" s="75"/>
      <c r="M180" s="7"/>
      <c r="N180" s="75"/>
      <c r="O180" s="7"/>
      <c r="P180" s="75"/>
      <c r="Q180" s="7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"/>
      <c r="AE180" s="7"/>
      <c r="AF180" s="7"/>
    </row>
    <row r="181" ht="13.55" customHeight="1">
      <c r="A181" s="7"/>
      <c r="B181" s="7"/>
      <c r="C181" s="7"/>
      <c r="D181" s="7"/>
      <c r="E181" s="75"/>
      <c r="F181" s="75"/>
      <c r="G181" s="79"/>
      <c r="H181" s="75"/>
      <c r="I181" s="79"/>
      <c r="J181" s="75"/>
      <c r="K181" s="79"/>
      <c r="L181" s="75"/>
      <c r="M181" s="79"/>
      <c r="N181" s="75"/>
      <c r="O181" s="79"/>
      <c r="P181" s="75"/>
      <c r="Q181" s="79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"/>
      <c r="AE181" s="7"/>
      <c r="AF181" s="7"/>
    </row>
    <row r="182" ht="13.55" customHeight="1">
      <c r="A182" s="7"/>
      <c r="B182" s="7"/>
      <c r="C182" s="7"/>
      <c r="D182" s="7"/>
      <c r="E182" s="75"/>
      <c r="F182" s="75"/>
      <c r="G182" s="80"/>
      <c r="H182" s="75"/>
      <c r="I182" s="80"/>
      <c r="J182" s="75"/>
      <c r="K182" s="79"/>
      <c r="L182" s="75"/>
      <c r="M182" s="80"/>
      <c r="N182" s="75"/>
      <c r="O182" s="80"/>
      <c r="P182" s="75"/>
      <c r="Q182" s="81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"/>
      <c r="AE182" s="7"/>
      <c r="AF182" s="7"/>
    </row>
    <row r="183" ht="13.55" customHeight="1">
      <c r="A183" s="7"/>
      <c r="B183" s="7"/>
      <c r="C183" s="7"/>
      <c r="D183" s="7"/>
      <c r="E183" s="75"/>
      <c r="F183" s="75"/>
      <c r="G183" s="79"/>
      <c r="H183" s="75"/>
      <c r="I183" s="7"/>
      <c r="J183" s="75"/>
      <c r="K183" s="79"/>
      <c r="L183" s="75"/>
      <c r="M183" s="7"/>
      <c r="N183" s="75"/>
      <c r="O183" s="7"/>
      <c r="P183" s="75"/>
      <c r="Q183" s="7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"/>
      <c r="AE183" s="7"/>
      <c r="AF183" s="7"/>
    </row>
    <row r="184" ht="13.55" customHeight="1">
      <c r="A184" s="7"/>
      <c r="B184" s="7"/>
      <c r="C184" s="7"/>
      <c r="D184" s="7"/>
      <c r="E184" s="75"/>
      <c r="F184" s="75"/>
      <c r="G184" s="79"/>
      <c r="H184" s="75"/>
      <c r="I184" s="79"/>
      <c r="J184" s="75"/>
      <c r="K184" s="79"/>
      <c r="L184" s="75"/>
      <c r="M184" s="79"/>
      <c r="N184" s="75"/>
      <c r="O184" s="79"/>
      <c r="P184" s="75"/>
      <c r="Q184" s="79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"/>
      <c r="AE184" s="7"/>
      <c r="AF184" s="7"/>
    </row>
    <row r="185" ht="13.55" customHeight="1">
      <c r="A185" s="7"/>
      <c r="B185" s="7"/>
      <c r="C185" s="7"/>
      <c r="D185" s="7"/>
      <c r="E185" s="75"/>
      <c r="F185" s="75"/>
      <c r="G185" s="79"/>
      <c r="H185" s="75"/>
      <c r="I185" s="80"/>
      <c r="J185" s="75"/>
      <c r="K185" s="79"/>
      <c r="L185" s="75"/>
      <c r="M185" s="80"/>
      <c r="N185" s="75"/>
      <c r="O185" s="80"/>
      <c r="P185" s="75"/>
      <c r="Q185" s="80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"/>
      <c r="AE185" s="7"/>
      <c r="AF185" s="7"/>
    </row>
    <row r="186" ht="13.5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3.55" customHeight="1">
      <c r="A187" s="7"/>
      <c r="B187" s="7"/>
      <c r="C187" s="7"/>
      <c r="D187" s="7"/>
      <c r="E187" s="75"/>
      <c r="F187" s="75"/>
      <c r="G187" s="7"/>
      <c r="H187" s="75"/>
      <c r="I187" s="7"/>
      <c r="J187" s="75"/>
      <c r="K187" s="7"/>
      <c r="L187" s="75"/>
      <c r="M187" s="7"/>
      <c r="N187" s="75"/>
      <c r="O187" s="7"/>
      <c r="P187" s="75"/>
      <c r="Q187" s="7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"/>
      <c r="AE187" s="7"/>
      <c r="AF187" s="7"/>
    </row>
    <row r="188" ht="13.55" customHeight="1">
      <c r="A188" s="7"/>
      <c r="B188" s="7"/>
      <c r="C188" s="7"/>
      <c r="D188" s="7"/>
      <c r="E188" s="75"/>
      <c r="F188" s="75"/>
      <c r="G188" s="79"/>
      <c r="H188" s="75"/>
      <c r="I188" s="79"/>
      <c r="J188" s="75"/>
      <c r="K188" s="79"/>
      <c r="L188" s="75"/>
      <c r="M188" s="79"/>
      <c r="N188" s="75"/>
      <c r="O188" s="79"/>
      <c r="P188" s="75"/>
      <c r="Q188" s="79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"/>
      <c r="AE188" s="7"/>
      <c r="AF188" s="7"/>
    </row>
    <row r="189" ht="13.55" customHeight="1">
      <c r="A189" s="7"/>
      <c r="B189" s="7"/>
      <c r="C189" s="7"/>
      <c r="D189" s="7"/>
      <c r="E189" s="75"/>
      <c r="F189" s="75"/>
      <c r="G189" s="80"/>
      <c r="H189" s="75"/>
      <c r="I189" s="80"/>
      <c r="J189" s="75"/>
      <c r="K189" s="79"/>
      <c r="L189" s="75"/>
      <c r="M189" s="80"/>
      <c r="N189" s="75"/>
      <c r="O189" s="80"/>
      <c r="P189" s="75"/>
      <c r="Q189" s="81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"/>
      <c r="AE189" s="7"/>
      <c r="AF189" s="7"/>
    </row>
    <row r="190" ht="13.55" customHeight="1">
      <c r="A190" s="7"/>
      <c r="B190" s="7"/>
      <c r="C190" s="7"/>
      <c r="D190" s="7"/>
      <c r="E190" s="75"/>
      <c r="F190" s="75"/>
      <c r="G190" s="79"/>
      <c r="H190" s="75"/>
      <c r="I190" s="7"/>
      <c r="J190" s="75"/>
      <c r="K190" s="79"/>
      <c r="L190" s="75"/>
      <c r="M190" s="7"/>
      <c r="N190" s="75"/>
      <c r="O190" s="7"/>
      <c r="P190" s="75"/>
      <c r="Q190" s="7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"/>
      <c r="AE190" s="7"/>
      <c r="AF190" s="7"/>
    </row>
    <row r="191" ht="13.55" customHeight="1">
      <c r="A191" s="7"/>
      <c r="B191" s="7"/>
      <c r="C191" s="7"/>
      <c r="D191" s="7"/>
      <c r="E191" s="75"/>
      <c r="F191" s="75"/>
      <c r="G191" s="79"/>
      <c r="H191" s="75"/>
      <c r="I191" s="79"/>
      <c r="J191" s="75"/>
      <c r="K191" s="79"/>
      <c r="L191" s="75"/>
      <c r="M191" s="79"/>
      <c r="N191" s="75"/>
      <c r="O191" s="79"/>
      <c r="P191" s="75"/>
      <c r="Q191" s="79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"/>
      <c r="AE191" s="7"/>
      <c r="AF191" s="7"/>
    </row>
    <row r="192" ht="13.55" customHeight="1">
      <c r="A192" s="7"/>
      <c r="B192" s="7"/>
      <c r="C192" s="7"/>
      <c r="D192" s="7"/>
      <c r="E192" s="75"/>
      <c r="F192" s="75"/>
      <c r="G192" s="79"/>
      <c r="H192" s="75"/>
      <c r="I192" s="80"/>
      <c r="J192" s="75"/>
      <c r="K192" s="79"/>
      <c r="L192" s="75"/>
      <c r="M192" s="80"/>
      <c r="N192" s="75"/>
      <c r="O192" s="80"/>
      <c r="P192" s="75"/>
      <c r="Q192" s="80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"/>
      <c r="AE192" s="7"/>
      <c r="AF192" s="7"/>
    </row>
    <row r="193" ht="13.5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3.55" customHeight="1">
      <c r="A194" s="7"/>
      <c r="B194" s="7"/>
      <c r="C194" s="7"/>
      <c r="D194" s="7"/>
      <c r="E194" s="75"/>
      <c r="F194" s="75"/>
      <c r="G194" s="7"/>
      <c r="H194" s="75"/>
      <c r="I194" s="7"/>
      <c r="J194" s="75"/>
      <c r="K194" s="7"/>
      <c r="L194" s="75"/>
      <c r="M194" s="7"/>
      <c r="N194" s="75"/>
      <c r="O194" s="7"/>
      <c r="P194" s="75"/>
      <c r="Q194" s="7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"/>
      <c r="AE194" s="7"/>
      <c r="AF194" s="7"/>
    </row>
    <row r="195" ht="13.55" customHeight="1">
      <c r="A195" s="7"/>
      <c r="B195" s="7"/>
      <c r="C195" s="7"/>
      <c r="D195" s="7"/>
      <c r="E195" s="75"/>
      <c r="F195" s="75"/>
      <c r="G195" s="79"/>
      <c r="H195" s="75"/>
      <c r="I195" s="79"/>
      <c r="J195" s="75"/>
      <c r="K195" s="79"/>
      <c r="L195" s="75"/>
      <c r="M195" s="79"/>
      <c r="N195" s="75"/>
      <c r="O195" s="79"/>
      <c r="P195" s="75"/>
      <c r="Q195" s="79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"/>
      <c r="AE195" s="7"/>
      <c r="AF195" s="7"/>
    </row>
    <row r="196" ht="13.55" customHeight="1">
      <c r="A196" s="7"/>
      <c r="B196" s="7"/>
      <c r="C196" s="7"/>
      <c r="D196" s="7"/>
      <c r="E196" s="75"/>
      <c r="F196" s="75"/>
      <c r="G196" s="80"/>
      <c r="H196" s="75"/>
      <c r="I196" s="80"/>
      <c r="J196" s="75"/>
      <c r="K196" s="79"/>
      <c r="L196" s="75"/>
      <c r="M196" s="80"/>
      <c r="N196" s="75"/>
      <c r="O196" s="80"/>
      <c r="P196" s="75"/>
      <c r="Q196" s="81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"/>
      <c r="AE196" s="7"/>
      <c r="AF196" s="7"/>
    </row>
    <row r="197" ht="13.55" customHeight="1">
      <c r="A197" s="7"/>
      <c r="B197" s="7"/>
      <c r="C197" s="7"/>
      <c r="D197" s="7"/>
      <c r="E197" s="75"/>
      <c r="F197" s="75"/>
      <c r="G197" s="79"/>
      <c r="H197" s="75"/>
      <c r="I197" s="7"/>
      <c r="J197" s="75"/>
      <c r="K197" s="79"/>
      <c r="L197" s="75"/>
      <c r="M197" s="7"/>
      <c r="N197" s="75"/>
      <c r="O197" s="7"/>
      <c r="P197" s="75"/>
      <c r="Q197" s="7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"/>
      <c r="AE197" s="7"/>
      <c r="AF197" s="7"/>
    </row>
    <row r="198" ht="13.55" customHeight="1">
      <c r="A198" s="7"/>
      <c r="B198" s="7"/>
      <c r="C198" s="7"/>
      <c r="D198" s="7"/>
      <c r="E198" s="75"/>
      <c r="F198" s="75"/>
      <c r="G198" s="79"/>
      <c r="H198" s="75"/>
      <c r="I198" s="79"/>
      <c r="J198" s="75"/>
      <c r="K198" s="79"/>
      <c r="L198" s="75"/>
      <c r="M198" s="79"/>
      <c r="N198" s="75"/>
      <c r="O198" s="79"/>
      <c r="P198" s="75"/>
      <c r="Q198" s="79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"/>
      <c r="AE198" s="7"/>
      <c r="AF198" s="7"/>
    </row>
    <row r="199" ht="13.55" customHeight="1">
      <c r="A199" s="7"/>
      <c r="B199" s="7"/>
      <c r="C199" s="7"/>
      <c r="D199" s="7"/>
      <c r="E199" s="75"/>
      <c r="F199" s="75"/>
      <c r="G199" s="79"/>
      <c r="H199" s="75"/>
      <c r="I199" s="80"/>
      <c r="J199" s="75"/>
      <c r="K199" s="79"/>
      <c r="L199" s="75"/>
      <c r="M199" s="80"/>
      <c r="N199" s="75"/>
      <c r="O199" s="80"/>
      <c r="P199" s="75"/>
      <c r="Q199" s="80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"/>
      <c r="AE199" s="7"/>
      <c r="AF199" s="7"/>
    </row>
    <row r="200" ht="13.5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3.55" customHeight="1">
      <c r="A201" s="7"/>
      <c r="B201" s="7"/>
      <c r="C201" s="7"/>
      <c r="D201" s="7"/>
      <c r="E201" s="75"/>
      <c r="F201" s="75"/>
      <c r="G201" s="7"/>
      <c r="H201" s="75"/>
      <c r="I201" s="7"/>
      <c r="J201" s="75"/>
      <c r="K201" s="7"/>
      <c r="L201" s="75"/>
      <c r="M201" s="7"/>
      <c r="N201" s="75"/>
      <c r="O201" s="7"/>
      <c r="P201" s="75"/>
      <c r="Q201" s="7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"/>
      <c r="AE201" s="7"/>
      <c r="AF201" s="7"/>
    </row>
    <row r="202" ht="13.55" customHeight="1">
      <c r="A202" s="7"/>
      <c r="B202" s="7"/>
      <c r="C202" s="7"/>
      <c r="D202" s="7"/>
      <c r="E202" s="75"/>
      <c r="F202" s="75"/>
      <c r="G202" s="79"/>
      <c r="H202" s="75"/>
      <c r="I202" s="79"/>
      <c r="J202" s="75"/>
      <c r="K202" s="79"/>
      <c r="L202" s="75"/>
      <c r="M202" s="79"/>
      <c r="N202" s="75"/>
      <c r="O202" s="79"/>
      <c r="P202" s="75"/>
      <c r="Q202" s="79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"/>
      <c r="AE202" s="7"/>
      <c r="AF202" s="7"/>
    </row>
    <row r="203" ht="13.55" customHeight="1">
      <c r="A203" s="7"/>
      <c r="B203" s="7"/>
      <c r="C203" s="7"/>
      <c r="D203" s="7"/>
      <c r="E203" s="75"/>
      <c r="F203" s="75"/>
      <c r="G203" s="80"/>
      <c r="H203" s="75"/>
      <c r="I203" s="80"/>
      <c r="J203" s="75"/>
      <c r="K203" s="79"/>
      <c r="L203" s="75"/>
      <c r="M203" s="80"/>
      <c r="N203" s="75"/>
      <c r="O203" s="80"/>
      <c r="P203" s="75"/>
      <c r="Q203" s="81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"/>
      <c r="AE203" s="7"/>
      <c r="AF203" s="7"/>
    </row>
    <row r="204" ht="13.55" customHeight="1">
      <c r="A204" s="7"/>
      <c r="B204" s="7"/>
      <c r="C204" s="7"/>
      <c r="D204" s="7"/>
      <c r="E204" s="75"/>
      <c r="F204" s="75"/>
      <c r="G204" s="79"/>
      <c r="H204" s="75"/>
      <c r="I204" s="7"/>
      <c r="J204" s="75"/>
      <c r="K204" s="79"/>
      <c r="L204" s="75"/>
      <c r="M204" s="7"/>
      <c r="N204" s="75"/>
      <c r="O204" s="7"/>
      <c r="P204" s="75"/>
      <c r="Q204" s="7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"/>
      <c r="AE204" s="7"/>
      <c r="AF204" s="7"/>
    </row>
    <row r="205" ht="13.55" customHeight="1">
      <c r="A205" s="7"/>
      <c r="B205" s="7"/>
      <c r="C205" s="7"/>
      <c r="D205" s="7"/>
      <c r="E205" s="75"/>
      <c r="F205" s="75"/>
      <c r="G205" s="79"/>
      <c r="H205" s="75"/>
      <c r="I205" s="79"/>
      <c r="J205" s="75"/>
      <c r="K205" s="79"/>
      <c r="L205" s="75"/>
      <c r="M205" s="79"/>
      <c r="N205" s="75"/>
      <c r="O205" s="79"/>
      <c r="P205" s="75"/>
      <c r="Q205" s="79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"/>
      <c r="AE205" s="7"/>
      <c r="AF205" s="7"/>
    </row>
    <row r="206" ht="13.55" customHeight="1">
      <c r="A206" s="7"/>
      <c r="B206" s="7"/>
      <c r="C206" s="7"/>
      <c r="D206" s="7"/>
      <c r="E206" s="75"/>
      <c r="F206" s="75"/>
      <c r="G206" s="79"/>
      <c r="H206" s="75"/>
      <c r="I206" s="80"/>
      <c r="J206" s="75"/>
      <c r="K206" s="79"/>
      <c r="L206" s="75"/>
      <c r="M206" s="80"/>
      <c r="N206" s="75"/>
      <c r="O206" s="80"/>
      <c r="P206" s="75"/>
      <c r="Q206" s="80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"/>
      <c r="AE206" s="7"/>
      <c r="AF206" s="7"/>
    </row>
    <row r="207" ht="13.5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3.55" customHeight="1">
      <c r="A208" s="7"/>
      <c r="B208" s="7"/>
      <c r="C208" s="7"/>
      <c r="D208" s="7"/>
      <c r="E208" s="75"/>
      <c r="F208" s="75"/>
      <c r="G208" s="7"/>
      <c r="H208" s="75"/>
      <c r="I208" s="7"/>
      <c r="J208" s="75"/>
      <c r="K208" s="7"/>
      <c r="L208" s="75"/>
      <c r="M208" s="7"/>
      <c r="N208" s="75"/>
      <c r="O208" s="7"/>
      <c r="P208" s="75"/>
      <c r="Q208" s="7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"/>
      <c r="AE208" s="7"/>
      <c r="AF208" s="7"/>
    </row>
    <row r="209" ht="13.55" customHeight="1">
      <c r="A209" s="7"/>
      <c r="B209" s="7"/>
      <c r="C209" s="7"/>
      <c r="D209" s="7"/>
      <c r="E209" s="75"/>
      <c r="F209" s="75"/>
      <c r="G209" s="79"/>
      <c r="H209" s="75"/>
      <c r="I209" s="79"/>
      <c r="J209" s="75"/>
      <c r="K209" s="79"/>
      <c r="L209" s="75"/>
      <c r="M209" s="79"/>
      <c r="N209" s="75"/>
      <c r="O209" s="79"/>
      <c r="P209" s="75"/>
      <c r="Q209" s="79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"/>
      <c r="AE209" s="7"/>
      <c r="AF209" s="7"/>
    </row>
    <row r="210" ht="13.55" customHeight="1">
      <c r="A210" s="7"/>
      <c r="B210" s="7"/>
      <c r="C210" s="7"/>
      <c r="D210" s="7"/>
      <c r="E210" s="75"/>
      <c r="F210" s="75"/>
      <c r="G210" s="80"/>
      <c r="H210" s="75"/>
      <c r="I210" s="80"/>
      <c r="J210" s="75"/>
      <c r="K210" s="79"/>
      <c r="L210" s="75"/>
      <c r="M210" s="80"/>
      <c r="N210" s="75"/>
      <c r="O210" s="80"/>
      <c r="P210" s="75"/>
      <c r="Q210" s="81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"/>
      <c r="AE210" s="7"/>
      <c r="AF210" s="7"/>
    </row>
    <row r="211" ht="13.55" customHeight="1">
      <c r="A211" s="7"/>
      <c r="B211" s="7"/>
      <c r="C211" s="7"/>
      <c r="D211" s="7"/>
      <c r="E211" s="75"/>
      <c r="F211" s="75"/>
      <c r="G211" s="79"/>
      <c r="H211" s="75"/>
      <c r="I211" s="7"/>
      <c r="J211" s="75"/>
      <c r="K211" s="79"/>
      <c r="L211" s="75"/>
      <c r="M211" s="7"/>
      <c r="N211" s="75"/>
      <c r="O211" s="7"/>
      <c r="P211" s="75"/>
      <c r="Q211" s="7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"/>
      <c r="AE211" s="7"/>
      <c r="AF211" s="7"/>
    </row>
    <row r="212" ht="13.55" customHeight="1">
      <c r="A212" s="7"/>
      <c r="B212" s="7"/>
      <c r="C212" s="7"/>
      <c r="D212" s="7"/>
      <c r="E212" s="75"/>
      <c r="F212" s="75"/>
      <c r="G212" s="79"/>
      <c r="H212" s="75"/>
      <c r="I212" s="79"/>
      <c r="J212" s="75"/>
      <c r="K212" s="79"/>
      <c r="L212" s="75"/>
      <c r="M212" s="79"/>
      <c r="N212" s="75"/>
      <c r="O212" s="79"/>
      <c r="P212" s="75"/>
      <c r="Q212" s="79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"/>
      <c r="AE212" s="7"/>
      <c r="AF212" s="7"/>
    </row>
    <row r="213" ht="13.55" customHeight="1">
      <c r="A213" s="7"/>
      <c r="B213" s="7"/>
      <c r="C213" s="7"/>
      <c r="D213" s="7"/>
      <c r="E213" s="75"/>
      <c r="F213" s="75"/>
      <c r="G213" s="79"/>
      <c r="H213" s="75"/>
      <c r="I213" s="80"/>
      <c r="J213" s="75"/>
      <c r="K213" s="79"/>
      <c r="L213" s="75"/>
      <c r="M213" s="80"/>
      <c r="N213" s="75"/>
      <c r="O213" s="80"/>
      <c r="P213" s="75"/>
      <c r="Q213" s="80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"/>
      <c r="AE213" s="7"/>
      <c r="AF213" s="7"/>
    </row>
    <row r="214" ht="13.5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3.55" customHeight="1">
      <c r="A215" s="7"/>
      <c r="B215" s="7"/>
      <c r="C215" s="7"/>
      <c r="D215" s="7"/>
      <c r="E215" s="75"/>
      <c r="F215" s="75"/>
      <c r="G215" s="7"/>
      <c r="H215" s="75"/>
      <c r="I215" s="7"/>
      <c r="J215" s="75"/>
      <c r="K215" s="7"/>
      <c r="L215" s="75"/>
      <c r="M215" s="7"/>
      <c r="N215" s="75"/>
      <c r="O215" s="7"/>
      <c r="P215" s="75"/>
      <c r="Q215" s="7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"/>
      <c r="AE215" s="7"/>
      <c r="AF215" s="7"/>
    </row>
    <row r="216" ht="13.55" customHeight="1">
      <c r="A216" s="7"/>
      <c r="B216" s="7"/>
      <c r="C216" s="7"/>
      <c r="D216" s="7"/>
      <c r="E216" s="75"/>
      <c r="F216" s="75"/>
      <c r="G216" s="79"/>
      <c r="H216" s="75"/>
      <c r="I216" s="79"/>
      <c r="J216" s="75"/>
      <c r="K216" s="79"/>
      <c r="L216" s="75"/>
      <c r="M216" s="79"/>
      <c r="N216" s="75"/>
      <c r="O216" s="79"/>
      <c r="P216" s="75"/>
      <c r="Q216" s="79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"/>
      <c r="AE216" s="7"/>
      <c r="AF216" s="7"/>
    </row>
    <row r="217" ht="13.55" customHeight="1">
      <c r="A217" s="7"/>
      <c r="B217" s="7"/>
      <c r="C217" s="7"/>
      <c r="D217" s="7"/>
      <c r="E217" s="75"/>
      <c r="F217" s="75"/>
      <c r="G217" s="80"/>
      <c r="H217" s="75"/>
      <c r="I217" s="80"/>
      <c r="J217" s="75"/>
      <c r="K217" s="79"/>
      <c r="L217" s="75"/>
      <c r="M217" s="80"/>
      <c r="N217" s="75"/>
      <c r="O217" s="80"/>
      <c r="P217" s="75"/>
      <c r="Q217" s="81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"/>
      <c r="AE217" s="7"/>
      <c r="AF217" s="7"/>
    </row>
    <row r="218" ht="13.55" customHeight="1">
      <c r="A218" s="7"/>
      <c r="B218" s="7"/>
      <c r="C218" s="7"/>
      <c r="D218" s="7"/>
      <c r="E218" s="75"/>
      <c r="F218" s="75"/>
      <c r="G218" s="79"/>
      <c r="H218" s="75"/>
      <c r="I218" s="7"/>
      <c r="J218" s="75"/>
      <c r="K218" s="79"/>
      <c r="L218" s="75"/>
      <c r="M218" s="7"/>
      <c r="N218" s="75"/>
      <c r="O218" s="7"/>
      <c r="P218" s="75"/>
      <c r="Q218" s="7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"/>
      <c r="AE218" s="7"/>
      <c r="AF218" s="7"/>
    </row>
    <row r="219" ht="13.55" customHeight="1">
      <c r="A219" s="7"/>
      <c r="B219" s="7"/>
      <c r="C219" s="7"/>
      <c r="D219" s="7"/>
      <c r="E219" s="75"/>
      <c r="F219" s="75"/>
      <c r="G219" s="79"/>
      <c r="H219" s="75"/>
      <c r="I219" s="79"/>
      <c r="J219" s="75"/>
      <c r="K219" s="79"/>
      <c r="L219" s="75"/>
      <c r="M219" s="79"/>
      <c r="N219" s="75"/>
      <c r="O219" s="79"/>
      <c r="P219" s="75"/>
      <c r="Q219" s="79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"/>
      <c r="AE219" s="7"/>
      <c r="AF219" s="7"/>
    </row>
    <row r="220" ht="13.55" customHeight="1">
      <c r="A220" s="7"/>
      <c r="B220" s="7"/>
      <c r="C220" s="7"/>
      <c r="D220" s="7"/>
      <c r="E220" s="75"/>
      <c r="F220" s="75"/>
      <c r="G220" s="79"/>
      <c r="H220" s="75"/>
      <c r="I220" s="80"/>
      <c r="J220" s="75"/>
      <c r="K220" s="79"/>
      <c r="L220" s="75"/>
      <c r="M220" s="80"/>
      <c r="N220" s="75"/>
      <c r="O220" s="80"/>
      <c r="P220" s="75"/>
      <c r="Q220" s="80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"/>
      <c r="AE220" s="7"/>
      <c r="AF220" s="7"/>
    </row>
  </sheetData>
  <mergeCells count="33">
    <mergeCell ref="Z2:AA2"/>
    <mergeCell ref="AB2:AC2"/>
    <mergeCell ref="L2:M2"/>
    <mergeCell ref="N2:O2"/>
    <mergeCell ref="P2:Q2"/>
    <mergeCell ref="R2:S2"/>
    <mergeCell ref="T2:U2"/>
    <mergeCell ref="V2:W2"/>
    <mergeCell ref="X2:Y2"/>
    <mergeCell ref="S13:S15"/>
    <mergeCell ref="U13:U15"/>
    <mergeCell ref="W13:W15"/>
    <mergeCell ref="A73:A78"/>
    <mergeCell ref="A80:A85"/>
    <mergeCell ref="A66:A71"/>
    <mergeCell ref="A24:A29"/>
    <mergeCell ref="A52:A57"/>
    <mergeCell ref="A59:A64"/>
    <mergeCell ref="A31:A36"/>
    <mergeCell ref="A38:A43"/>
    <mergeCell ref="A45:A50"/>
    <mergeCell ref="M13:M15"/>
    <mergeCell ref="A1:K1"/>
    <mergeCell ref="K20:K22"/>
    <mergeCell ref="F2:G2"/>
    <mergeCell ref="H2:I2"/>
    <mergeCell ref="J2:K2"/>
    <mergeCell ref="I13:I15"/>
    <mergeCell ref="G13:G15"/>
    <mergeCell ref="K13:K15"/>
    <mergeCell ref="A3:A8"/>
    <mergeCell ref="A10:A15"/>
    <mergeCell ref="A17:A22"/>
  </mergeCells>
  <conditionalFormatting sqref="M34">
    <cfRule type="cellIs" dxfId="0" priority="1" operator="lessThan" stopIfTrue="1">
      <formula>0</formula>
    </cfRule>
  </conditionalFormatting>
  <pageMargins left="0.1" right="0.18" top="0.5" bottom="0.5" header="0.3" footer="0.3"/>
  <pageSetup firstPageNumber="1" fitToHeight="1" fitToWidth="1" scale="7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AE281"/>
  <sheetViews>
    <sheetView workbookViewId="0" showGridLines="0" defaultGridColor="1"/>
  </sheetViews>
  <sheetFormatPr defaultColWidth="9.16667" defaultRowHeight="15" customHeight="1" outlineLevelRow="0" outlineLevelCol="0"/>
  <cols>
    <col min="1" max="1" width="5.17188" style="357" customWidth="1"/>
    <col min="2" max="2" width="19.6719" style="357" customWidth="1"/>
    <col min="3" max="3" width="7.67188" style="357" customWidth="1"/>
    <col min="4" max="4" width="7.17188" style="357" customWidth="1"/>
    <col min="5" max="9" width="9.5" style="357" customWidth="1"/>
    <col min="10" max="15" width="7.5" style="357" customWidth="1"/>
    <col min="16" max="16" width="7" style="357" customWidth="1"/>
    <col min="17" max="17" width="6" style="357" customWidth="1"/>
    <col min="18" max="18" width="7.17188" style="357" customWidth="1"/>
    <col min="19" max="19" width="5.85156" style="357" customWidth="1"/>
    <col min="20" max="20" width="8.5" style="357" customWidth="1"/>
    <col min="21" max="21" width="5.5" style="357" customWidth="1"/>
    <col min="22" max="22" width="8.85156" style="357" customWidth="1"/>
    <col min="23" max="23" width="5.67188" style="357" customWidth="1"/>
    <col min="24" max="24" width="8.5" style="357" customWidth="1"/>
    <col min="25" max="25" width="6.85156" style="357" customWidth="1"/>
    <col min="26" max="26" width="8.5" style="357" customWidth="1"/>
    <col min="27" max="27" width="5.5" style="357" customWidth="1"/>
    <col min="28" max="28" width="8.5" style="357" customWidth="1"/>
    <col min="29" max="29" width="15.3516" style="357" customWidth="1"/>
    <col min="30" max="30" width="14.1719" style="357" customWidth="1"/>
    <col min="31" max="31" width="9.17188" style="357" customWidth="1"/>
    <col min="32" max="16384" width="9.17188" style="357" customWidth="1"/>
  </cols>
  <sheetData>
    <row r="1" ht="24.75" customHeight="1">
      <c r="A1" t="s" s="268">
        <v>694</v>
      </c>
      <c r="B1" s="270"/>
      <c r="C1" s="270"/>
      <c r="D1" s="270"/>
      <c r="E1" s="270"/>
      <c r="F1" s="270"/>
      <c r="G1" s="270"/>
      <c r="H1" s="270"/>
      <c r="I1" s="270"/>
      <c r="J1" s="270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2"/>
      <c r="AD1" s="358"/>
      <c r="AE1" s="23"/>
    </row>
    <row r="2" ht="16.5" customHeight="1">
      <c r="A2" t="s" s="342">
        <v>1</v>
      </c>
      <c r="B2" t="s" s="285">
        <v>2</v>
      </c>
      <c r="C2" s="296"/>
      <c r="D2" s="296"/>
      <c r="E2" s="359">
        <v>46113</v>
      </c>
      <c r="F2" s="360"/>
      <c r="G2" s="359">
        <v>46143</v>
      </c>
      <c r="H2" s="360"/>
      <c r="I2" s="359">
        <v>46174</v>
      </c>
      <c r="J2" s="360"/>
      <c r="K2" s="359">
        <v>46204</v>
      </c>
      <c r="L2" s="360"/>
      <c r="M2" s="359">
        <v>46235</v>
      </c>
      <c r="N2" s="360"/>
      <c r="O2" s="275">
        <v>46266</v>
      </c>
      <c r="P2" s="276"/>
      <c r="Q2" s="275">
        <v>46296</v>
      </c>
      <c r="R2" s="276"/>
      <c r="S2" s="275">
        <v>46327</v>
      </c>
      <c r="T2" s="276"/>
      <c r="U2" s="275">
        <v>46357</v>
      </c>
      <c r="V2" s="276"/>
      <c r="W2" s="275">
        <v>46388</v>
      </c>
      <c r="X2" s="276"/>
      <c r="Y2" s="275">
        <v>46419</v>
      </c>
      <c r="Z2" s="276"/>
      <c r="AA2" s="275">
        <v>46447</v>
      </c>
      <c r="AB2" s="276"/>
      <c r="AC2" t="s" s="277">
        <v>3</v>
      </c>
      <c r="AD2" s="177"/>
      <c r="AE2" s="70"/>
    </row>
    <row r="3" ht="13.75" customHeight="1">
      <c r="A3" s="136">
        <v>1</v>
      </c>
      <c r="B3" t="s" s="15">
        <v>695</v>
      </c>
      <c r="C3" s="170"/>
      <c r="D3" s="170"/>
      <c r="E3" t="s" s="8">
        <v>6</v>
      </c>
      <c r="F3" s="16">
        <v>1106</v>
      </c>
      <c r="G3" t="s" s="8">
        <v>6</v>
      </c>
      <c r="H3" s="16">
        <v>3226</v>
      </c>
      <c r="I3" t="s" s="8">
        <v>6</v>
      </c>
      <c r="J3" s="16">
        <v>3226</v>
      </c>
      <c r="K3" t="s" s="8">
        <v>6</v>
      </c>
      <c r="L3" s="23"/>
      <c r="M3" t="s" s="8">
        <v>6</v>
      </c>
      <c r="N3" s="23"/>
      <c r="O3" t="s" s="8">
        <v>6</v>
      </c>
      <c r="P3" s="23"/>
      <c r="Q3" t="s" s="8">
        <v>6</v>
      </c>
      <c r="R3" s="23"/>
      <c r="S3" t="s" s="8">
        <v>6</v>
      </c>
      <c r="T3" s="23"/>
      <c r="U3" t="s" s="8">
        <v>6</v>
      </c>
      <c r="V3" s="23"/>
      <c r="W3" t="s" s="8">
        <v>6</v>
      </c>
      <c r="X3" s="23"/>
      <c r="Y3" t="s" s="8">
        <v>6</v>
      </c>
      <c r="Z3" s="23"/>
      <c r="AA3" t="s" s="8">
        <v>6</v>
      </c>
      <c r="AB3" s="23"/>
      <c r="AC3" s="23"/>
      <c r="AD3" s="13"/>
      <c r="AE3" s="7"/>
    </row>
    <row r="4" ht="13.55" customHeight="1">
      <c r="A4" s="137"/>
      <c r="B4" s="9"/>
      <c r="C4" s="9"/>
      <c r="D4" s="9"/>
      <c r="E4" t="s" s="8">
        <v>8</v>
      </c>
      <c r="F4" s="26">
        <v>1500</v>
      </c>
      <c r="G4" t="s" s="8">
        <v>8</v>
      </c>
      <c r="H4" s="26">
        <v>1500</v>
      </c>
      <c r="I4" t="s" s="8">
        <v>8</v>
      </c>
      <c r="J4" s="26">
        <v>1500</v>
      </c>
      <c r="K4" t="s" s="8">
        <v>8</v>
      </c>
      <c r="L4" s="27"/>
      <c r="M4" t="s" s="8">
        <v>8</v>
      </c>
      <c r="N4" s="27"/>
      <c r="O4" t="s" s="8">
        <v>8</v>
      </c>
      <c r="P4" s="27"/>
      <c r="Q4" t="s" s="8">
        <v>8</v>
      </c>
      <c r="R4" s="27"/>
      <c r="S4" t="s" s="8">
        <v>8</v>
      </c>
      <c r="T4" s="27"/>
      <c r="U4" t="s" s="8">
        <v>8</v>
      </c>
      <c r="V4" s="27"/>
      <c r="W4" t="s" s="8">
        <v>8</v>
      </c>
      <c r="X4" s="27"/>
      <c r="Y4" t="s" s="8">
        <v>8</v>
      </c>
      <c r="Z4" s="27"/>
      <c r="AA4" t="s" s="8">
        <v>8</v>
      </c>
      <c r="AB4" s="27"/>
      <c r="AC4" s="31" cm="1">
        <f t="array" ref="AC4">F4+H4+J4+L4+N4+P4+R4+T4+V4+X4+Z4+AB4</f>
        <v>4500</v>
      </c>
      <c r="AD4" s="50" cm="1">
        <f t="array" ref="AD4">1400*12</f>
        <v>16800</v>
      </c>
      <c r="AE4" s="51" cm="1">
        <f t="array" ref="AE4">AD4-AC4</f>
        <v>12300</v>
      </c>
    </row>
    <row r="5" ht="13.55" customHeight="1">
      <c r="A5" s="137"/>
      <c r="B5" s="23"/>
      <c r="C5" t="s" s="8">
        <v>9</v>
      </c>
      <c r="D5" s="25">
        <v>1000</v>
      </c>
      <c r="E5" t="s" s="8">
        <v>10</v>
      </c>
      <c r="F5" t="s" s="33">
        <v>23</v>
      </c>
      <c r="G5" t="s" s="8">
        <v>10</v>
      </c>
      <c r="H5" t="s" s="33">
        <v>420</v>
      </c>
      <c r="I5" t="s" s="8">
        <v>10</v>
      </c>
      <c r="J5" t="s" s="33">
        <v>420</v>
      </c>
      <c r="K5" t="s" s="8">
        <v>10</v>
      </c>
      <c r="L5" s="34"/>
      <c r="M5" t="s" s="8">
        <v>10</v>
      </c>
      <c r="N5" s="34"/>
      <c r="O5" t="s" s="8">
        <v>10</v>
      </c>
      <c r="P5" s="34"/>
      <c r="Q5" t="s" s="8">
        <v>10</v>
      </c>
      <c r="R5" s="34"/>
      <c r="S5" t="s" s="8">
        <v>10</v>
      </c>
      <c r="T5" s="34"/>
      <c r="U5" t="s" s="8">
        <v>10</v>
      </c>
      <c r="V5" s="34"/>
      <c r="W5" t="s" s="8">
        <v>10</v>
      </c>
      <c r="X5" s="34"/>
      <c r="Y5" t="s" s="8">
        <v>10</v>
      </c>
      <c r="Z5" s="34"/>
      <c r="AA5" t="s" s="8">
        <v>10</v>
      </c>
      <c r="AB5" s="34"/>
      <c r="AC5" s="23"/>
      <c r="AD5" s="13"/>
      <c r="AE5" s="7"/>
    </row>
    <row r="6" ht="13.55" customHeight="1">
      <c r="A6" s="137"/>
      <c r="B6" t="s" s="8">
        <v>696</v>
      </c>
      <c r="C6" t="s" s="8">
        <v>697</v>
      </c>
      <c r="D6" s="25">
        <v>1000</v>
      </c>
      <c r="E6" t="s" s="8">
        <v>6</v>
      </c>
      <c r="F6" s="40"/>
      <c r="G6" t="s" s="8">
        <v>6</v>
      </c>
      <c r="H6" s="40"/>
      <c r="I6" t="s" s="8">
        <v>6</v>
      </c>
      <c r="J6" s="40"/>
      <c r="K6" t="s" s="8">
        <v>6</v>
      </c>
      <c r="L6" s="40"/>
      <c r="M6" t="s" s="8">
        <v>6</v>
      </c>
      <c r="N6" s="40"/>
      <c r="O6" t="s" s="8">
        <v>6</v>
      </c>
      <c r="P6" s="40"/>
      <c r="Q6" t="s" s="8">
        <v>6</v>
      </c>
      <c r="R6" s="9"/>
      <c r="S6" t="s" s="8">
        <v>6</v>
      </c>
      <c r="T6" s="9"/>
      <c r="U6" t="s" s="8">
        <v>6</v>
      </c>
      <c r="V6" s="9"/>
      <c r="W6" t="s" s="8">
        <v>6</v>
      </c>
      <c r="X6" s="9"/>
      <c r="Y6" t="s" s="8">
        <v>6</v>
      </c>
      <c r="Z6" s="9"/>
      <c r="AA6" t="s" s="8">
        <v>6</v>
      </c>
      <c r="AB6" s="9"/>
      <c r="AC6" s="23"/>
      <c r="AD6" s="13"/>
      <c r="AE6" s="7"/>
    </row>
    <row r="7" ht="13.55" customHeight="1">
      <c r="A7" s="137"/>
      <c r="B7" t="s" s="8">
        <v>698</v>
      </c>
      <c r="C7" s="9"/>
      <c r="D7" s="9"/>
      <c r="E7" t="s" s="8">
        <v>8</v>
      </c>
      <c r="F7" s="41"/>
      <c r="G7" t="s" s="8">
        <v>8</v>
      </c>
      <c r="H7" s="41"/>
      <c r="I7" t="s" s="8">
        <v>8</v>
      </c>
      <c r="J7" s="41"/>
      <c r="K7" t="s" s="8">
        <v>8</v>
      </c>
      <c r="L7" s="41"/>
      <c r="M7" t="s" s="8">
        <v>8</v>
      </c>
      <c r="N7" s="41"/>
      <c r="O7" t="s" s="8">
        <v>8</v>
      </c>
      <c r="P7" s="41"/>
      <c r="Q7" t="s" s="8">
        <v>8</v>
      </c>
      <c r="R7" s="9"/>
      <c r="S7" t="s" s="8">
        <v>8</v>
      </c>
      <c r="T7" s="9"/>
      <c r="U7" t="s" s="8">
        <v>8</v>
      </c>
      <c r="V7" s="9"/>
      <c r="W7" t="s" s="8">
        <v>8</v>
      </c>
      <c r="X7" s="9"/>
      <c r="Y7" t="s" s="8">
        <v>8</v>
      </c>
      <c r="Z7" s="9"/>
      <c r="AA7" t="s" s="8">
        <v>8</v>
      </c>
      <c r="AB7" s="9"/>
      <c r="AC7" s="23"/>
      <c r="AD7" s="13"/>
      <c r="AE7" s="7"/>
    </row>
    <row r="8" ht="13.55" customHeight="1">
      <c r="A8" s="137"/>
      <c r="B8" s="9"/>
      <c r="C8" s="9"/>
      <c r="D8" s="9"/>
      <c r="E8" t="s" s="8">
        <v>10</v>
      </c>
      <c r="F8" s="45"/>
      <c r="G8" t="s" s="8">
        <v>10</v>
      </c>
      <c r="H8" s="45"/>
      <c r="I8" t="s" s="8">
        <v>10</v>
      </c>
      <c r="J8" s="45"/>
      <c r="K8" t="s" s="8">
        <v>10</v>
      </c>
      <c r="L8" s="45"/>
      <c r="M8" t="s" s="8">
        <v>10</v>
      </c>
      <c r="N8" s="45"/>
      <c r="O8" t="s" s="8">
        <v>10</v>
      </c>
      <c r="P8" s="45"/>
      <c r="Q8" t="s" s="8">
        <v>10</v>
      </c>
      <c r="R8" s="9"/>
      <c r="S8" t="s" s="8">
        <v>10</v>
      </c>
      <c r="T8" s="9"/>
      <c r="U8" t="s" s="8">
        <v>10</v>
      </c>
      <c r="V8" s="9"/>
      <c r="W8" t="s" s="8">
        <v>10</v>
      </c>
      <c r="X8" s="9"/>
      <c r="Y8" t="s" s="8">
        <v>10</v>
      </c>
      <c r="Z8" s="9"/>
      <c r="AA8" t="s" s="8">
        <v>10</v>
      </c>
      <c r="AB8" s="9"/>
      <c r="AC8" s="23"/>
      <c r="AD8" s="13"/>
      <c r="AE8" s="7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23"/>
      <c r="AD9" s="13"/>
      <c r="AE9" s="7"/>
    </row>
    <row r="10" ht="13.75" customHeight="1">
      <c r="A10" s="83">
        <v>2</v>
      </c>
      <c r="B10" t="s" s="15">
        <v>699</v>
      </c>
      <c r="C10" s="170"/>
      <c r="D10" s="170"/>
      <c r="E10" t="s" s="8">
        <v>6</v>
      </c>
      <c r="F10" s="16">
        <v>1228</v>
      </c>
      <c r="G10" t="s" s="8">
        <v>6</v>
      </c>
      <c r="H10" s="16">
        <v>3212</v>
      </c>
      <c r="I10" t="s" s="8">
        <v>6</v>
      </c>
      <c r="J10" s="9"/>
      <c r="K10" t="s" s="8">
        <v>6</v>
      </c>
      <c r="L10" s="23"/>
      <c r="M10" t="s" s="8">
        <v>6</v>
      </c>
      <c r="N10" s="23"/>
      <c r="O10" t="s" s="8">
        <v>6</v>
      </c>
      <c r="P10" s="2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3"/>
      <c r="AD10" s="13"/>
      <c r="AE10" s="7"/>
    </row>
    <row r="11" ht="13.75" customHeight="1">
      <c r="A11" s="84"/>
      <c r="B11" t="s" s="124">
        <v>68</v>
      </c>
      <c r="C11" t="s" s="8">
        <v>7</v>
      </c>
      <c r="D11" s="25">
        <v>1000</v>
      </c>
      <c r="E11" t="s" s="8">
        <v>8</v>
      </c>
      <c r="F11" s="26">
        <v>1500</v>
      </c>
      <c r="G11" t="s" s="8">
        <v>8</v>
      </c>
      <c r="H11" s="26">
        <v>1500</v>
      </c>
      <c r="I11" t="s" s="8">
        <v>8</v>
      </c>
      <c r="J11" s="9"/>
      <c r="K11" t="s" s="8">
        <v>8</v>
      </c>
      <c r="L11" s="27"/>
      <c r="M11" t="s" s="8">
        <v>8</v>
      </c>
      <c r="N11" s="27"/>
      <c r="O11" t="s" s="8">
        <v>8</v>
      </c>
      <c r="P11" s="27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3"/>
      <c r="AD11" s="13"/>
      <c r="AE11" s="7"/>
    </row>
    <row r="12" ht="13.55" customHeight="1">
      <c r="A12" s="84"/>
      <c r="B12" s="23"/>
      <c r="C12" t="s" s="8">
        <v>9</v>
      </c>
      <c r="D12" s="25">
        <v>1000</v>
      </c>
      <c r="E12" t="s" s="8">
        <v>10</v>
      </c>
      <c r="F12" t="s" s="33">
        <v>47</v>
      </c>
      <c r="G12" t="s" s="8">
        <v>10</v>
      </c>
      <c r="H12" t="s" s="33">
        <v>55</v>
      </c>
      <c r="I12" t="s" s="8">
        <v>10</v>
      </c>
      <c r="J12" s="9"/>
      <c r="K12" t="s" s="8">
        <v>10</v>
      </c>
      <c r="L12" s="34"/>
      <c r="M12" t="s" s="8">
        <v>10</v>
      </c>
      <c r="N12" s="34"/>
      <c r="O12" t="s" s="8">
        <v>10</v>
      </c>
      <c r="P12" s="34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23"/>
      <c r="AD12" s="13"/>
      <c r="AE12" s="7"/>
    </row>
    <row r="13" ht="13.55" customHeight="1">
      <c r="A13" s="84"/>
      <c r="B13" t="s" s="8">
        <v>700</v>
      </c>
      <c r="C13" t="s" s="8">
        <v>701</v>
      </c>
      <c r="D13" s="25">
        <v>1000</v>
      </c>
      <c r="E13" t="s" s="8">
        <v>6</v>
      </c>
      <c r="F13" s="40"/>
      <c r="G13" t="s" s="8">
        <v>6</v>
      </c>
      <c r="H13" s="40"/>
      <c r="I13" t="s" s="8">
        <v>6</v>
      </c>
      <c r="J13" s="9"/>
      <c r="K13" t="s" s="8">
        <v>6</v>
      </c>
      <c r="L13" s="40"/>
      <c r="M13" t="s" s="8">
        <v>6</v>
      </c>
      <c r="N13" s="40"/>
      <c r="O13" t="s" s="8">
        <v>6</v>
      </c>
      <c r="P13" s="4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23"/>
      <c r="AD13" s="13"/>
      <c r="AE13" s="7"/>
    </row>
    <row r="14" ht="13.55" customHeight="1">
      <c r="A14" s="84"/>
      <c r="B14" t="s" s="8">
        <v>702</v>
      </c>
      <c r="C14" s="9"/>
      <c r="D14" s="9"/>
      <c r="E14" t="s" s="8">
        <v>8</v>
      </c>
      <c r="F14" s="41"/>
      <c r="G14" t="s" s="8">
        <v>8</v>
      </c>
      <c r="H14" s="41"/>
      <c r="I14" t="s" s="8">
        <v>8</v>
      </c>
      <c r="J14" s="9"/>
      <c r="K14" t="s" s="8">
        <v>8</v>
      </c>
      <c r="L14" s="41"/>
      <c r="M14" t="s" s="8">
        <v>8</v>
      </c>
      <c r="N14" s="41"/>
      <c r="O14" t="s" s="8">
        <v>8</v>
      </c>
      <c r="P14" s="41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23"/>
      <c r="AD14" s="13"/>
      <c r="AE14" s="7"/>
    </row>
    <row r="15" ht="13.55" customHeight="1">
      <c r="A15" s="85"/>
      <c r="B15" s="9"/>
      <c r="C15" s="9"/>
      <c r="D15" s="9"/>
      <c r="E15" t="s" s="8">
        <v>10</v>
      </c>
      <c r="F15" s="45"/>
      <c r="G15" t="s" s="8">
        <v>10</v>
      </c>
      <c r="H15" s="45"/>
      <c r="I15" t="s" s="8">
        <v>10</v>
      </c>
      <c r="J15" s="9"/>
      <c r="K15" t="s" s="8">
        <v>10</v>
      </c>
      <c r="L15" s="45"/>
      <c r="M15" t="s" s="8">
        <v>10</v>
      </c>
      <c r="N15" s="45"/>
      <c r="O15" t="s" s="8">
        <v>10</v>
      </c>
      <c r="P15" s="45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23"/>
      <c r="AD15" s="13"/>
      <c r="AE15" s="7"/>
    </row>
    <row r="16" ht="13.5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23"/>
      <c r="AD16" s="13"/>
      <c r="AE16" s="7"/>
    </row>
    <row r="17" ht="13.75" customHeight="1">
      <c r="A17" s="83">
        <v>3</v>
      </c>
      <c r="B17" t="s" s="15">
        <v>703</v>
      </c>
      <c r="C17" s="170"/>
      <c r="D17" s="170"/>
      <c r="E17" t="s" s="8">
        <v>6</v>
      </c>
      <c r="F17" s="16">
        <v>1064</v>
      </c>
      <c r="G17" t="s" s="8">
        <v>6</v>
      </c>
      <c r="H17" s="16">
        <v>3165</v>
      </c>
      <c r="I17" t="s" s="8">
        <v>6</v>
      </c>
      <c r="J17" s="9"/>
      <c r="K17" t="s" s="8">
        <v>6</v>
      </c>
      <c r="L17" s="23"/>
      <c r="M17" t="s" s="8">
        <v>6</v>
      </c>
      <c r="N17" s="23"/>
      <c r="O17" t="s" s="8">
        <v>6</v>
      </c>
      <c r="P17" s="23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23"/>
      <c r="AD17" s="13"/>
      <c r="AE17" s="7"/>
    </row>
    <row r="18" ht="13.75" customHeight="1">
      <c r="A18" s="84"/>
      <c r="B18" t="s" s="124">
        <v>68</v>
      </c>
      <c r="C18" t="s" s="8">
        <v>7</v>
      </c>
      <c r="D18" s="25">
        <v>1000</v>
      </c>
      <c r="E18" t="s" s="8">
        <v>8</v>
      </c>
      <c r="F18" s="26">
        <v>1500</v>
      </c>
      <c r="G18" t="s" s="8">
        <v>8</v>
      </c>
      <c r="H18" s="26">
        <v>1500</v>
      </c>
      <c r="I18" t="s" s="8">
        <v>8</v>
      </c>
      <c r="J18" s="9"/>
      <c r="K18" t="s" s="8">
        <v>8</v>
      </c>
      <c r="L18" s="27"/>
      <c r="M18" t="s" s="8">
        <v>8</v>
      </c>
      <c r="N18" s="27"/>
      <c r="O18" t="s" s="8">
        <v>8</v>
      </c>
      <c r="P18" s="27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23"/>
      <c r="AD18" s="13"/>
      <c r="AE18" s="7"/>
    </row>
    <row r="19" ht="13.55" customHeight="1">
      <c r="A19" s="84"/>
      <c r="B19" s="23"/>
      <c r="C19" t="s" s="8">
        <v>9</v>
      </c>
      <c r="D19" s="25">
        <v>1000</v>
      </c>
      <c r="E19" t="s" s="8">
        <v>10</v>
      </c>
      <c r="F19" t="s" s="33">
        <v>159</v>
      </c>
      <c r="G19" t="s" s="8">
        <v>10</v>
      </c>
      <c r="H19" t="s" s="33">
        <v>142</v>
      </c>
      <c r="I19" t="s" s="8">
        <v>10</v>
      </c>
      <c r="J19" s="9"/>
      <c r="K19" t="s" s="8">
        <v>10</v>
      </c>
      <c r="L19" s="34"/>
      <c r="M19" t="s" s="8">
        <v>10</v>
      </c>
      <c r="N19" s="34"/>
      <c r="O19" t="s" s="8">
        <v>10</v>
      </c>
      <c r="P19" s="3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23"/>
      <c r="AD19" s="13"/>
      <c r="AE19" s="7"/>
    </row>
    <row r="20" ht="13.55" customHeight="1">
      <c r="A20" s="84"/>
      <c r="B20" t="s" s="8">
        <v>704</v>
      </c>
      <c r="C20" t="s" s="8">
        <v>701</v>
      </c>
      <c r="D20" t="s" s="86">
        <v>705</v>
      </c>
      <c r="E20" t="s" s="8">
        <v>6</v>
      </c>
      <c r="F20" s="40"/>
      <c r="G20" t="s" s="8">
        <v>6</v>
      </c>
      <c r="H20" s="40"/>
      <c r="I20" t="s" s="8">
        <v>6</v>
      </c>
      <c r="J20" s="9"/>
      <c r="K20" t="s" s="8">
        <v>6</v>
      </c>
      <c r="L20" s="40"/>
      <c r="M20" t="s" s="8">
        <v>6</v>
      </c>
      <c r="N20" s="40"/>
      <c r="O20" t="s" s="8">
        <v>6</v>
      </c>
      <c r="P20" s="40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23"/>
      <c r="AD20" s="13"/>
      <c r="AE20" s="7"/>
    </row>
    <row r="21" ht="13.55" customHeight="1">
      <c r="A21" s="84"/>
      <c r="B21" t="s" s="8">
        <v>706</v>
      </c>
      <c r="C21" s="9"/>
      <c r="D21" s="9"/>
      <c r="E21" t="s" s="8">
        <v>8</v>
      </c>
      <c r="F21" s="41"/>
      <c r="G21" t="s" s="8">
        <v>8</v>
      </c>
      <c r="H21" s="41"/>
      <c r="I21" t="s" s="8">
        <v>8</v>
      </c>
      <c r="J21" s="9"/>
      <c r="K21" t="s" s="8">
        <v>8</v>
      </c>
      <c r="L21" s="41"/>
      <c r="M21" t="s" s="8">
        <v>8</v>
      </c>
      <c r="N21" s="41"/>
      <c r="O21" t="s" s="8">
        <v>8</v>
      </c>
      <c r="P21" s="41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23"/>
      <c r="AD21" s="13"/>
      <c r="AE21" s="7"/>
    </row>
    <row r="22" ht="13.55" customHeight="1">
      <c r="A22" s="85"/>
      <c r="B22" s="9"/>
      <c r="C22" s="9"/>
      <c r="D22" s="9"/>
      <c r="E22" t="s" s="8">
        <v>10</v>
      </c>
      <c r="F22" s="45"/>
      <c r="G22" t="s" s="8">
        <v>10</v>
      </c>
      <c r="H22" s="45"/>
      <c r="I22" t="s" s="8">
        <v>10</v>
      </c>
      <c r="J22" s="9"/>
      <c r="K22" t="s" s="8">
        <v>10</v>
      </c>
      <c r="L22" s="45"/>
      <c r="M22" t="s" s="8">
        <v>10</v>
      </c>
      <c r="N22" s="45"/>
      <c r="O22" t="s" s="8">
        <v>10</v>
      </c>
      <c r="P22" s="45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23"/>
      <c r="AD22" s="13"/>
      <c r="AE22" s="7"/>
    </row>
    <row r="23" ht="13.5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23"/>
      <c r="AD23" s="13"/>
      <c r="AE23" s="7"/>
    </row>
    <row r="24" ht="13.75" customHeight="1">
      <c r="A24" s="136">
        <v>4</v>
      </c>
      <c r="B24" t="s" s="15">
        <v>707</v>
      </c>
      <c r="C24" s="9"/>
      <c r="D24" s="23"/>
      <c r="E24" t="s" s="8">
        <v>6</v>
      </c>
      <c r="F24" s="16">
        <v>3213</v>
      </c>
      <c r="G24" t="s" s="8">
        <v>6</v>
      </c>
      <c r="H24" s="18"/>
      <c r="I24" t="s" s="8">
        <v>6</v>
      </c>
      <c r="J24" s="18"/>
      <c r="K24" t="s" s="8">
        <v>6</v>
      </c>
      <c r="L24" s="18"/>
      <c r="M24" t="s" s="8">
        <v>6</v>
      </c>
      <c r="N24" s="18"/>
      <c r="O24" t="s" s="8">
        <v>6</v>
      </c>
      <c r="P24" s="18"/>
      <c r="Q24" t="s" s="8">
        <v>6</v>
      </c>
      <c r="R24" s="18"/>
      <c r="S24" t="s" s="8">
        <v>6</v>
      </c>
      <c r="T24" s="18"/>
      <c r="U24" t="s" s="8">
        <v>6</v>
      </c>
      <c r="V24" s="18"/>
      <c r="W24" t="s" s="8">
        <v>6</v>
      </c>
      <c r="X24" s="18"/>
      <c r="Y24" t="s" s="8">
        <v>6</v>
      </c>
      <c r="Z24" s="18"/>
      <c r="AA24" t="s" s="8">
        <v>6</v>
      </c>
      <c r="AB24" s="18"/>
      <c r="AC24" s="23"/>
      <c r="AD24" s="13"/>
      <c r="AE24" s="7"/>
    </row>
    <row r="25" ht="13.55" customHeight="1">
      <c r="A25" s="137"/>
      <c r="B25" s="9"/>
      <c r="C25" s="9"/>
      <c r="D25" s="42"/>
      <c r="E25" t="s" s="8">
        <v>8</v>
      </c>
      <c r="F25" s="26">
        <v>1500</v>
      </c>
      <c r="G25" t="s" s="8">
        <v>8</v>
      </c>
      <c r="H25" s="27"/>
      <c r="I25" t="s" s="8">
        <v>8</v>
      </c>
      <c r="J25" s="27"/>
      <c r="K25" t="s" s="8">
        <v>8</v>
      </c>
      <c r="L25" s="27"/>
      <c r="M25" t="s" s="8">
        <v>8</v>
      </c>
      <c r="N25" s="27"/>
      <c r="O25" t="s" s="8">
        <v>8</v>
      </c>
      <c r="P25" s="27"/>
      <c r="Q25" t="s" s="8">
        <v>8</v>
      </c>
      <c r="R25" s="27"/>
      <c r="S25" t="s" s="8">
        <v>8</v>
      </c>
      <c r="T25" s="27"/>
      <c r="U25" t="s" s="8">
        <v>8</v>
      </c>
      <c r="V25" s="27"/>
      <c r="W25" t="s" s="8">
        <v>8</v>
      </c>
      <c r="X25" s="27"/>
      <c r="Y25" t="s" s="8">
        <v>8</v>
      </c>
      <c r="Z25" s="27"/>
      <c r="AA25" t="s" s="8">
        <v>8</v>
      </c>
      <c r="AB25" s="27"/>
      <c r="AC25" s="31" cm="1">
        <f t="array" ref="AC25">F25+H25+J25+L25+N25+P25+R25+T25+V25+X25+Z25+AB25</f>
        <v>1500</v>
      </c>
      <c r="AD25" s="50" cm="1">
        <f t="array" ref="AD25">1400*12</f>
        <v>16800</v>
      </c>
      <c r="AE25" s="51" cm="1">
        <f t="array" ref="AE25">AD25-AC25</f>
        <v>15300</v>
      </c>
    </row>
    <row r="26" ht="13.55" customHeight="1">
      <c r="A26" s="137"/>
      <c r="B26" s="9"/>
      <c r="C26" t="s" s="8">
        <v>9</v>
      </c>
      <c r="D26" s="25">
        <v>1000</v>
      </c>
      <c r="E26" t="s" s="8">
        <v>10</v>
      </c>
      <c r="F26" t="s" s="33">
        <v>55</v>
      </c>
      <c r="G26" t="s" s="8">
        <v>10</v>
      </c>
      <c r="H26" s="34"/>
      <c r="I26" t="s" s="8">
        <v>10</v>
      </c>
      <c r="J26" s="34"/>
      <c r="K26" t="s" s="8">
        <v>10</v>
      </c>
      <c r="L26" s="34"/>
      <c r="M26" t="s" s="8">
        <v>10</v>
      </c>
      <c r="N26" s="34"/>
      <c r="O26" t="s" s="8">
        <v>10</v>
      </c>
      <c r="P26" s="34"/>
      <c r="Q26" t="s" s="8">
        <v>10</v>
      </c>
      <c r="R26" s="34"/>
      <c r="S26" t="s" s="8">
        <v>10</v>
      </c>
      <c r="T26" s="34"/>
      <c r="U26" t="s" s="8">
        <v>10</v>
      </c>
      <c r="V26" s="34"/>
      <c r="W26" t="s" s="8">
        <v>10</v>
      </c>
      <c r="X26" s="34"/>
      <c r="Y26" t="s" s="8">
        <v>10</v>
      </c>
      <c r="Z26" s="34"/>
      <c r="AA26" t="s" s="8">
        <v>10</v>
      </c>
      <c r="AB26" s="34"/>
      <c r="AC26" s="23"/>
      <c r="AD26" s="13"/>
      <c r="AE26" s="7"/>
    </row>
    <row r="27" ht="13.55" customHeight="1">
      <c r="A27" s="137"/>
      <c r="B27" t="s" s="8">
        <v>708</v>
      </c>
      <c r="C27" t="s" s="8">
        <v>701</v>
      </c>
      <c r="D27" t="s" s="86">
        <v>705</v>
      </c>
      <c r="E27" t="s" s="8">
        <v>6</v>
      </c>
      <c r="F27" s="23"/>
      <c r="G27" t="s" s="8">
        <v>6</v>
      </c>
      <c r="H27" s="23"/>
      <c r="I27" t="s" s="8">
        <v>6</v>
      </c>
      <c r="J27" s="23"/>
      <c r="K27" t="s" s="8">
        <v>6</v>
      </c>
      <c r="L27" s="23"/>
      <c r="M27" t="s" s="8">
        <v>6</v>
      </c>
      <c r="N27" s="23"/>
      <c r="O27" t="s" s="8">
        <v>6</v>
      </c>
      <c r="P27" s="23"/>
      <c r="Q27" t="s" s="8">
        <v>6</v>
      </c>
      <c r="R27" s="9"/>
      <c r="S27" t="s" s="8">
        <v>6</v>
      </c>
      <c r="T27" s="9"/>
      <c r="U27" t="s" s="8">
        <v>6</v>
      </c>
      <c r="V27" s="9"/>
      <c r="W27" t="s" s="8">
        <v>6</v>
      </c>
      <c r="X27" s="9"/>
      <c r="Y27" t="s" s="8">
        <v>6</v>
      </c>
      <c r="Z27" s="9"/>
      <c r="AA27" t="s" s="8">
        <v>6</v>
      </c>
      <c r="AB27" s="9"/>
      <c r="AC27" s="23"/>
      <c r="AD27" s="13"/>
      <c r="AE27" s="7"/>
    </row>
    <row r="28" ht="13.55" customHeight="1">
      <c r="A28" s="137"/>
      <c r="B28" t="s" s="8">
        <v>709</v>
      </c>
      <c r="C28" s="9"/>
      <c r="D28" s="9"/>
      <c r="E28" t="s" s="8">
        <v>8</v>
      </c>
      <c r="F28" s="27"/>
      <c r="G28" t="s" s="8">
        <v>8</v>
      </c>
      <c r="H28" s="27"/>
      <c r="I28" t="s" s="8">
        <v>8</v>
      </c>
      <c r="J28" s="27"/>
      <c r="K28" t="s" s="8">
        <v>8</v>
      </c>
      <c r="L28" s="27"/>
      <c r="M28" t="s" s="8">
        <v>8</v>
      </c>
      <c r="N28" s="27"/>
      <c r="O28" t="s" s="8">
        <v>8</v>
      </c>
      <c r="P28" s="27"/>
      <c r="Q28" t="s" s="8">
        <v>8</v>
      </c>
      <c r="R28" s="9"/>
      <c r="S28" t="s" s="8">
        <v>8</v>
      </c>
      <c r="T28" s="9"/>
      <c r="U28" t="s" s="8">
        <v>8</v>
      </c>
      <c r="V28" s="9"/>
      <c r="W28" t="s" s="8">
        <v>8</v>
      </c>
      <c r="X28" s="9"/>
      <c r="Y28" t="s" s="8">
        <v>8</v>
      </c>
      <c r="Z28" s="9"/>
      <c r="AA28" t="s" s="8">
        <v>8</v>
      </c>
      <c r="AB28" s="9"/>
      <c r="AC28" s="23"/>
      <c r="AD28" s="13"/>
      <c r="AE28" s="7"/>
    </row>
    <row r="29" ht="13.55" customHeight="1">
      <c r="A29" s="137"/>
      <c r="B29" s="9"/>
      <c r="C29" s="9"/>
      <c r="D29" s="9"/>
      <c r="E29" t="s" s="8">
        <v>10</v>
      </c>
      <c r="F29" s="34"/>
      <c r="G29" t="s" s="8">
        <v>10</v>
      </c>
      <c r="H29" s="34"/>
      <c r="I29" t="s" s="8">
        <v>10</v>
      </c>
      <c r="J29" s="34"/>
      <c r="K29" t="s" s="8">
        <v>10</v>
      </c>
      <c r="L29" s="34"/>
      <c r="M29" t="s" s="8">
        <v>10</v>
      </c>
      <c r="N29" s="34"/>
      <c r="O29" t="s" s="8">
        <v>10</v>
      </c>
      <c r="P29" s="34"/>
      <c r="Q29" t="s" s="8">
        <v>10</v>
      </c>
      <c r="R29" s="9"/>
      <c r="S29" t="s" s="8">
        <v>10</v>
      </c>
      <c r="T29" s="9"/>
      <c r="U29" t="s" s="8">
        <v>10</v>
      </c>
      <c r="V29" s="9"/>
      <c r="W29" t="s" s="8">
        <v>10</v>
      </c>
      <c r="X29" s="9"/>
      <c r="Y29" t="s" s="8">
        <v>10</v>
      </c>
      <c r="Z29" s="9"/>
      <c r="AA29" t="s" s="8">
        <v>10</v>
      </c>
      <c r="AB29" s="9"/>
      <c r="AC29" s="23"/>
      <c r="AD29" s="13"/>
      <c r="AE29" s="7"/>
    </row>
    <row r="30" ht="13.5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23"/>
      <c r="AD30" s="13"/>
      <c r="AE30" s="7"/>
    </row>
    <row r="31" ht="13.75" customHeight="1">
      <c r="A31" s="136">
        <v>5</v>
      </c>
      <c r="B31" t="s" s="15">
        <v>710</v>
      </c>
      <c r="C31" s="170"/>
      <c r="D31" s="170"/>
      <c r="E31" t="s" s="8">
        <v>6</v>
      </c>
      <c r="F31" s="18"/>
      <c r="G31" t="s" s="8">
        <v>6</v>
      </c>
      <c r="H31" s="18"/>
      <c r="I31" t="s" s="8">
        <v>6</v>
      </c>
      <c r="J31" s="18"/>
      <c r="K31" t="s" s="8">
        <v>6</v>
      </c>
      <c r="L31" s="23"/>
      <c r="M31" t="s" s="8">
        <v>6</v>
      </c>
      <c r="N31" s="23"/>
      <c r="O31" t="s" s="8">
        <v>6</v>
      </c>
      <c r="P31" s="23"/>
      <c r="Q31" t="s" s="8">
        <v>6</v>
      </c>
      <c r="R31" s="23"/>
      <c r="S31" t="s" s="8">
        <v>6</v>
      </c>
      <c r="T31" s="23"/>
      <c r="U31" t="s" s="8">
        <v>6</v>
      </c>
      <c r="V31" s="23"/>
      <c r="W31" t="s" s="8">
        <v>6</v>
      </c>
      <c r="X31" s="23"/>
      <c r="Y31" t="s" s="8">
        <v>6</v>
      </c>
      <c r="Z31" s="23"/>
      <c r="AA31" t="s" s="8">
        <v>6</v>
      </c>
      <c r="AB31" s="23"/>
      <c r="AC31" s="23"/>
      <c r="AD31" s="13"/>
      <c r="AE31" s="7"/>
    </row>
    <row r="32" ht="13.55" customHeight="1">
      <c r="A32" s="137"/>
      <c r="B32" s="9"/>
      <c r="C32" s="9"/>
      <c r="D32" s="9"/>
      <c r="E32" t="s" s="8">
        <v>8</v>
      </c>
      <c r="F32" s="27"/>
      <c r="G32" t="s" s="8">
        <v>8</v>
      </c>
      <c r="H32" s="27"/>
      <c r="I32" t="s" s="8">
        <v>8</v>
      </c>
      <c r="J32" s="27"/>
      <c r="K32" t="s" s="8">
        <v>8</v>
      </c>
      <c r="L32" s="27"/>
      <c r="M32" t="s" s="8">
        <v>8</v>
      </c>
      <c r="N32" s="27"/>
      <c r="O32" t="s" s="8">
        <v>8</v>
      </c>
      <c r="P32" s="27"/>
      <c r="Q32" t="s" s="8">
        <v>8</v>
      </c>
      <c r="R32" s="27"/>
      <c r="S32" t="s" s="8">
        <v>8</v>
      </c>
      <c r="T32" s="27"/>
      <c r="U32" t="s" s="8">
        <v>8</v>
      </c>
      <c r="V32" s="27"/>
      <c r="W32" t="s" s="8">
        <v>8</v>
      </c>
      <c r="X32" s="27"/>
      <c r="Y32" t="s" s="8">
        <v>8</v>
      </c>
      <c r="Z32" s="27"/>
      <c r="AA32" t="s" s="8">
        <v>8</v>
      </c>
      <c r="AB32" s="27"/>
      <c r="AC32" s="31" cm="1">
        <f t="array" ref="AC32">F32+H32+J32+L32+N32+P32+R32+T32+V32+X32+Z32+AB32</f>
        <v>0</v>
      </c>
      <c r="AD32" s="50" cm="1">
        <f t="array" ref="AD32">1400*12</f>
        <v>16800</v>
      </c>
      <c r="AE32" s="51" cm="1">
        <f t="array" ref="AE32">AD32-AC32</f>
        <v>16800</v>
      </c>
    </row>
    <row r="33" ht="13.55" customHeight="1">
      <c r="A33" s="137"/>
      <c r="B33" s="9"/>
      <c r="C33" t="s" s="8">
        <v>9</v>
      </c>
      <c r="D33" s="42"/>
      <c r="E33" t="s" s="8">
        <v>10</v>
      </c>
      <c r="F33" s="34"/>
      <c r="G33" t="s" s="8">
        <v>10</v>
      </c>
      <c r="H33" s="34"/>
      <c r="I33" t="s" s="8">
        <v>10</v>
      </c>
      <c r="J33" s="34"/>
      <c r="K33" t="s" s="8">
        <v>10</v>
      </c>
      <c r="L33" s="34"/>
      <c r="M33" t="s" s="8">
        <v>10</v>
      </c>
      <c r="N33" s="34"/>
      <c r="O33" t="s" s="8">
        <v>10</v>
      </c>
      <c r="P33" s="34"/>
      <c r="Q33" t="s" s="8">
        <v>10</v>
      </c>
      <c r="R33" s="34"/>
      <c r="S33" t="s" s="8">
        <v>10</v>
      </c>
      <c r="T33" s="34"/>
      <c r="U33" t="s" s="8">
        <v>10</v>
      </c>
      <c r="V33" s="34"/>
      <c r="W33" t="s" s="8">
        <v>10</v>
      </c>
      <c r="X33" s="34"/>
      <c r="Y33" t="s" s="8">
        <v>10</v>
      </c>
      <c r="Z33" s="34"/>
      <c r="AA33" t="s" s="8">
        <v>10</v>
      </c>
      <c r="AB33" s="34"/>
      <c r="AC33" s="23"/>
      <c r="AD33" s="13"/>
      <c r="AE33" s="7"/>
    </row>
    <row r="34" ht="13.75" customHeight="1">
      <c r="A34" s="137"/>
      <c r="B34" t="s" s="8">
        <v>711</v>
      </c>
      <c r="C34" s="9"/>
      <c r="D34" s="9"/>
      <c r="E34" t="s" s="8">
        <v>6</v>
      </c>
      <c r="F34" s="18"/>
      <c r="G34" t="s" s="8">
        <v>6</v>
      </c>
      <c r="H34" s="18"/>
      <c r="I34" t="s" s="8">
        <v>6</v>
      </c>
      <c r="J34" s="23"/>
      <c r="K34" t="s" s="8">
        <v>6</v>
      </c>
      <c r="L34" s="23"/>
      <c r="M34" t="s" s="8">
        <v>6</v>
      </c>
      <c r="N34" s="23"/>
      <c r="O34" t="s" s="8">
        <v>6</v>
      </c>
      <c r="P34" s="23"/>
      <c r="Q34" t="s" s="8">
        <v>6</v>
      </c>
      <c r="R34" s="23"/>
      <c r="S34" t="s" s="8">
        <v>6</v>
      </c>
      <c r="T34" s="23"/>
      <c r="U34" t="s" s="8">
        <v>6</v>
      </c>
      <c r="V34" s="23"/>
      <c r="W34" t="s" s="8">
        <v>6</v>
      </c>
      <c r="X34" s="23"/>
      <c r="Y34" t="s" s="8">
        <v>6</v>
      </c>
      <c r="Z34" s="23"/>
      <c r="AA34" t="s" s="8">
        <v>6</v>
      </c>
      <c r="AB34" s="23"/>
      <c r="AC34" s="23"/>
      <c r="AD34" s="13"/>
      <c r="AE34" s="7"/>
    </row>
    <row r="35" ht="13.55" customHeight="1">
      <c r="A35" s="137"/>
      <c r="B35" t="s" s="8">
        <v>712</v>
      </c>
      <c r="C35" s="9"/>
      <c r="D35" s="9"/>
      <c r="E35" t="s" s="8">
        <v>8</v>
      </c>
      <c r="F35" s="27"/>
      <c r="G35" t="s" s="8">
        <v>8</v>
      </c>
      <c r="H35" s="27"/>
      <c r="I35" t="s" s="8">
        <v>8</v>
      </c>
      <c r="J35" s="27"/>
      <c r="K35" t="s" s="8">
        <v>8</v>
      </c>
      <c r="L35" s="27"/>
      <c r="M35" t="s" s="8">
        <v>8</v>
      </c>
      <c r="N35" s="27"/>
      <c r="O35" t="s" s="8">
        <v>8</v>
      </c>
      <c r="P35" s="27"/>
      <c r="Q35" t="s" s="8">
        <v>8</v>
      </c>
      <c r="R35" s="27"/>
      <c r="S35" t="s" s="8">
        <v>8</v>
      </c>
      <c r="T35" s="27"/>
      <c r="U35" t="s" s="8">
        <v>8</v>
      </c>
      <c r="V35" s="27"/>
      <c r="W35" t="s" s="8">
        <v>8</v>
      </c>
      <c r="X35" s="27"/>
      <c r="Y35" t="s" s="8">
        <v>8</v>
      </c>
      <c r="Z35" s="27"/>
      <c r="AA35" t="s" s="8">
        <v>8</v>
      </c>
      <c r="AB35" s="27"/>
      <c r="AC35" s="31" cm="1">
        <f t="array" ref="AC35">F35+H35+J35+L35+N35+P35+R35+T35+V35+X35+Z35+AB35</f>
        <v>0</v>
      </c>
      <c r="AD35" s="50" cm="1">
        <f t="array" ref="AD35">500*11</f>
        <v>5500</v>
      </c>
      <c r="AE35" s="51" cm="1">
        <f t="array" ref="AE35">AD35-AC35</f>
        <v>5500</v>
      </c>
    </row>
    <row r="36" ht="13.55" customHeight="1">
      <c r="A36" s="137"/>
      <c r="B36" s="9"/>
      <c r="C36" s="9"/>
      <c r="D36" s="9"/>
      <c r="E36" t="s" s="8">
        <v>10</v>
      </c>
      <c r="F36" s="34"/>
      <c r="G36" t="s" s="8">
        <v>10</v>
      </c>
      <c r="H36" s="34"/>
      <c r="I36" t="s" s="8">
        <v>10</v>
      </c>
      <c r="J36" s="34"/>
      <c r="K36" t="s" s="8">
        <v>10</v>
      </c>
      <c r="L36" s="34"/>
      <c r="M36" t="s" s="8">
        <v>10</v>
      </c>
      <c r="N36" s="34"/>
      <c r="O36" t="s" s="8">
        <v>10</v>
      </c>
      <c r="P36" s="34"/>
      <c r="Q36" t="s" s="8">
        <v>10</v>
      </c>
      <c r="R36" s="34"/>
      <c r="S36" t="s" s="8">
        <v>10</v>
      </c>
      <c r="T36" s="34"/>
      <c r="U36" t="s" s="8">
        <v>10</v>
      </c>
      <c r="V36" s="34"/>
      <c r="W36" t="s" s="8">
        <v>10</v>
      </c>
      <c r="X36" s="34"/>
      <c r="Y36" t="s" s="8">
        <v>10</v>
      </c>
      <c r="Z36" s="34"/>
      <c r="AA36" t="s" s="8">
        <v>10</v>
      </c>
      <c r="AB36" s="34"/>
      <c r="AC36" s="23"/>
      <c r="AD36" s="13"/>
      <c r="AE36" s="7"/>
    </row>
    <row r="37" ht="13.5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23"/>
      <c r="AD37" s="13"/>
      <c r="AE37" s="7"/>
    </row>
    <row r="38" ht="13.75" customHeight="1">
      <c r="A38" s="136">
        <v>6</v>
      </c>
      <c r="B38" t="s" s="15">
        <v>713</v>
      </c>
      <c r="C38" s="170"/>
      <c r="D38" s="170"/>
      <c r="E38" t="s" s="8">
        <v>6</v>
      </c>
      <c r="F38" s="16">
        <v>1098</v>
      </c>
      <c r="G38" t="s" s="8">
        <v>6</v>
      </c>
      <c r="H38" s="18"/>
      <c r="I38" t="s" s="8">
        <v>6</v>
      </c>
      <c r="J38" s="18"/>
      <c r="K38" t="s" s="8">
        <v>6</v>
      </c>
      <c r="L38" s="18"/>
      <c r="M38" t="s" s="8">
        <v>6</v>
      </c>
      <c r="N38" s="18"/>
      <c r="O38" t="s" s="8">
        <v>6</v>
      </c>
      <c r="P38" s="18"/>
      <c r="Q38" t="s" s="8">
        <v>6</v>
      </c>
      <c r="R38" s="18"/>
      <c r="S38" t="s" s="8">
        <v>6</v>
      </c>
      <c r="T38" s="18"/>
      <c r="U38" t="s" s="8">
        <v>6</v>
      </c>
      <c r="V38" s="18"/>
      <c r="W38" t="s" s="8">
        <v>6</v>
      </c>
      <c r="X38" s="18"/>
      <c r="Y38" t="s" s="8">
        <v>6</v>
      </c>
      <c r="Z38" s="18"/>
      <c r="AA38" t="s" s="8">
        <v>6</v>
      </c>
      <c r="AB38" s="18"/>
      <c r="AC38" s="23"/>
      <c r="AD38" s="13"/>
      <c r="AE38" s="7"/>
    </row>
    <row r="39" ht="13.55" customHeight="1">
      <c r="A39" s="137"/>
      <c r="B39" s="9"/>
      <c r="C39" s="9"/>
      <c r="D39" s="9"/>
      <c r="E39" t="s" s="8">
        <v>8</v>
      </c>
      <c r="F39" s="26">
        <v>1500</v>
      </c>
      <c r="G39" t="s" s="8">
        <v>8</v>
      </c>
      <c r="H39" s="27"/>
      <c r="I39" t="s" s="8">
        <v>8</v>
      </c>
      <c r="J39" s="27"/>
      <c r="K39" t="s" s="8">
        <v>8</v>
      </c>
      <c r="L39" s="27"/>
      <c r="M39" t="s" s="8">
        <v>8</v>
      </c>
      <c r="N39" s="27"/>
      <c r="O39" t="s" s="8">
        <v>8</v>
      </c>
      <c r="P39" s="27"/>
      <c r="Q39" t="s" s="8">
        <v>8</v>
      </c>
      <c r="R39" s="27"/>
      <c r="S39" t="s" s="8">
        <v>8</v>
      </c>
      <c r="T39" s="27"/>
      <c r="U39" t="s" s="8">
        <v>8</v>
      </c>
      <c r="V39" s="27"/>
      <c r="W39" t="s" s="8">
        <v>8</v>
      </c>
      <c r="X39" s="27"/>
      <c r="Y39" t="s" s="8">
        <v>8</v>
      </c>
      <c r="Z39" s="27"/>
      <c r="AA39" t="s" s="8">
        <v>8</v>
      </c>
      <c r="AB39" s="27"/>
      <c r="AC39" s="31" cm="1">
        <f t="array" ref="AC39">F39+H39+J39+L39+N39+P39+R39+T39+V39+X39+Z39+AB39</f>
        <v>1500</v>
      </c>
      <c r="AD39" s="50" cm="1">
        <f t="array" ref="AD39">1400*12</f>
        <v>16800</v>
      </c>
      <c r="AE39" s="51" cm="1">
        <f t="array" ref="AE39">AD39-AC39</f>
        <v>15300</v>
      </c>
    </row>
    <row r="40" ht="13.55" customHeight="1">
      <c r="A40" s="137"/>
      <c r="B40" s="9"/>
      <c r="C40" t="s" s="8">
        <v>9</v>
      </c>
      <c r="D40" s="25">
        <v>1000</v>
      </c>
      <c r="E40" t="s" s="8">
        <v>10</v>
      </c>
      <c r="F40" t="s" s="33">
        <v>23</v>
      </c>
      <c r="G40" t="s" s="8">
        <v>10</v>
      </c>
      <c r="H40" s="34"/>
      <c r="I40" t="s" s="8">
        <v>10</v>
      </c>
      <c r="J40" s="34"/>
      <c r="K40" t="s" s="8">
        <v>10</v>
      </c>
      <c r="L40" s="34"/>
      <c r="M40" t="s" s="8">
        <v>10</v>
      </c>
      <c r="N40" s="34"/>
      <c r="O40" t="s" s="8">
        <v>10</v>
      </c>
      <c r="P40" s="34"/>
      <c r="Q40" t="s" s="8">
        <v>10</v>
      </c>
      <c r="R40" s="34"/>
      <c r="S40" t="s" s="8">
        <v>10</v>
      </c>
      <c r="T40" s="34"/>
      <c r="U40" t="s" s="8">
        <v>10</v>
      </c>
      <c r="V40" s="34"/>
      <c r="W40" t="s" s="8">
        <v>10</v>
      </c>
      <c r="X40" s="34"/>
      <c r="Y40" t="s" s="8">
        <v>10</v>
      </c>
      <c r="Z40" s="34"/>
      <c r="AA40" t="s" s="8">
        <v>10</v>
      </c>
      <c r="AB40" s="34"/>
      <c r="AC40" s="23"/>
      <c r="AD40" s="13"/>
      <c r="AE40" s="7"/>
    </row>
    <row r="41" ht="13.75" customHeight="1">
      <c r="A41" s="137"/>
      <c r="B41" t="s" s="8">
        <v>270</v>
      </c>
      <c r="C41" t="s" s="8">
        <v>701</v>
      </c>
      <c r="D41" s="25">
        <v>1000</v>
      </c>
      <c r="E41" t="s" s="8">
        <v>6</v>
      </c>
      <c r="F41" s="16">
        <v>2034</v>
      </c>
      <c r="G41" t="s" s="8">
        <v>6</v>
      </c>
      <c r="H41" s="18"/>
      <c r="I41" t="s" s="8">
        <v>6</v>
      </c>
      <c r="J41" s="23"/>
      <c r="K41" t="s" s="8">
        <v>6</v>
      </c>
      <c r="L41" s="18"/>
      <c r="M41" t="s" s="8">
        <v>6</v>
      </c>
      <c r="N41" s="18"/>
      <c r="O41" t="s" s="8">
        <v>6</v>
      </c>
      <c r="P41" s="18"/>
      <c r="Q41" t="s" s="8">
        <v>6</v>
      </c>
      <c r="R41" s="18"/>
      <c r="S41" t="s" s="8">
        <v>6</v>
      </c>
      <c r="T41" s="18"/>
      <c r="U41" t="s" s="8">
        <v>6</v>
      </c>
      <c r="V41" s="18"/>
      <c r="W41" t="s" s="8">
        <v>6</v>
      </c>
      <c r="X41" s="18"/>
      <c r="Y41" t="s" s="8">
        <v>6</v>
      </c>
      <c r="Z41" s="18"/>
      <c r="AA41" t="s" s="8">
        <v>6</v>
      </c>
      <c r="AB41" s="18"/>
      <c r="AC41" s="23"/>
      <c r="AD41" s="13"/>
      <c r="AE41" s="7"/>
    </row>
    <row r="42" ht="13.55" customHeight="1">
      <c r="A42" s="137"/>
      <c r="B42" t="s" s="8">
        <v>271</v>
      </c>
      <c r="C42" s="9"/>
      <c r="D42" s="9"/>
      <c r="E42" t="s" s="8">
        <v>8</v>
      </c>
      <c r="F42" s="26">
        <v>600</v>
      </c>
      <c r="G42" t="s" s="8">
        <v>8</v>
      </c>
      <c r="H42" s="27"/>
      <c r="I42" t="s" s="8">
        <v>8</v>
      </c>
      <c r="J42" s="27"/>
      <c r="K42" t="s" s="8">
        <v>8</v>
      </c>
      <c r="L42" s="27"/>
      <c r="M42" t="s" s="8">
        <v>8</v>
      </c>
      <c r="N42" s="27"/>
      <c r="O42" t="s" s="8">
        <v>8</v>
      </c>
      <c r="P42" s="27"/>
      <c r="Q42" t="s" s="8">
        <v>8</v>
      </c>
      <c r="R42" s="27"/>
      <c r="S42" t="s" s="8">
        <v>8</v>
      </c>
      <c r="T42" s="27"/>
      <c r="U42" t="s" s="8">
        <v>8</v>
      </c>
      <c r="V42" s="27"/>
      <c r="W42" t="s" s="8">
        <v>8</v>
      </c>
      <c r="X42" s="27"/>
      <c r="Y42" t="s" s="8">
        <v>8</v>
      </c>
      <c r="Z42" s="27"/>
      <c r="AA42" t="s" s="8">
        <v>8</v>
      </c>
      <c r="AB42" s="27"/>
      <c r="AC42" s="31" cm="1">
        <f t="array" ref="AC42">F42+H42+J42+L42+N42+P42+R42+T42+V42+X42+Z42+AB42</f>
        <v>600</v>
      </c>
      <c r="AD42" s="50" cm="1">
        <f t="array" ref="AD42">500*11</f>
        <v>5500</v>
      </c>
      <c r="AE42" s="51" cm="1">
        <f t="array" ref="AE42">AD42-AC42</f>
        <v>4900</v>
      </c>
    </row>
    <row r="43" ht="13.55" customHeight="1">
      <c r="A43" s="137"/>
      <c r="B43" s="9"/>
      <c r="C43" s="9"/>
      <c r="D43" s="9"/>
      <c r="E43" t="s" s="8">
        <v>10</v>
      </c>
      <c r="F43" t="s" s="33">
        <v>23</v>
      </c>
      <c r="G43" t="s" s="8">
        <v>10</v>
      </c>
      <c r="H43" s="34"/>
      <c r="I43" t="s" s="8">
        <v>10</v>
      </c>
      <c r="J43" s="46"/>
      <c r="K43" t="s" s="8">
        <v>10</v>
      </c>
      <c r="L43" s="34"/>
      <c r="M43" t="s" s="8">
        <v>10</v>
      </c>
      <c r="N43" s="34"/>
      <c r="O43" t="s" s="8">
        <v>10</v>
      </c>
      <c r="P43" s="34"/>
      <c r="Q43" t="s" s="8">
        <v>10</v>
      </c>
      <c r="R43" s="34"/>
      <c r="S43" t="s" s="8">
        <v>10</v>
      </c>
      <c r="T43" s="34"/>
      <c r="U43" t="s" s="8">
        <v>10</v>
      </c>
      <c r="V43" s="34"/>
      <c r="W43" t="s" s="8">
        <v>10</v>
      </c>
      <c r="X43" s="34"/>
      <c r="Y43" t="s" s="8">
        <v>10</v>
      </c>
      <c r="Z43" s="34"/>
      <c r="AA43" t="s" s="8">
        <v>10</v>
      </c>
      <c r="AB43" s="34"/>
      <c r="AC43" s="23"/>
      <c r="AD43" s="13"/>
      <c r="AE43" s="7"/>
    </row>
    <row r="44" ht="13.5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0"/>
      <c r="AD44" s="7"/>
      <c r="AE44" s="7"/>
    </row>
    <row r="45" ht="13.5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"/>
      <c r="AD45" s="7"/>
      <c r="AE45" s="7"/>
    </row>
    <row r="46" ht="13.5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9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"/>
      <c r="AD46" s="7"/>
      <c r="AE46" s="7"/>
    </row>
    <row r="47" ht="13.5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81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"/>
      <c r="AD47" s="7"/>
      <c r="AE47" s="7"/>
    </row>
    <row r="48" ht="13.5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"/>
      <c r="AD48" s="7"/>
      <c r="AE48" s="7"/>
    </row>
    <row r="49" ht="13.5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9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"/>
      <c r="AD49" s="7"/>
      <c r="AE49" s="7"/>
    </row>
    <row r="50" ht="13.5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80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"/>
      <c r="AD50" s="7"/>
      <c r="AE50" s="7"/>
    </row>
    <row r="51" ht="13.5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"/>
      <c r="AD51" s="7"/>
      <c r="AE51" s="7"/>
    </row>
    <row r="52" ht="13.5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"/>
      <c r="AD52" s="7"/>
      <c r="AE52" s="7"/>
    </row>
    <row r="53" ht="13.5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9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"/>
      <c r="AD53" s="7"/>
      <c r="AE53" s="7"/>
    </row>
    <row r="54" ht="13.5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81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"/>
      <c r="AD54" s="7"/>
      <c r="AE54" s="7"/>
    </row>
    <row r="55" ht="13.5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"/>
      <c r="AD55" s="7"/>
      <c r="AE55" s="7"/>
    </row>
    <row r="56" ht="13.5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9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"/>
      <c r="AD56" s="7"/>
      <c r="AE56" s="7"/>
    </row>
    <row r="57" ht="13.5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80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"/>
      <c r="AD57" s="7"/>
      <c r="AE57" s="7"/>
    </row>
    <row r="58" ht="13.5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"/>
      <c r="AD58" s="7"/>
      <c r="AE58" s="7"/>
    </row>
    <row r="59" ht="13.5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"/>
      <c r="AD59" s="7"/>
      <c r="AE59" s="7"/>
    </row>
    <row r="60" ht="13.5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9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"/>
      <c r="AD60" s="7"/>
      <c r="AE60" s="7"/>
    </row>
    <row r="61" ht="13.5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81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"/>
      <c r="AD61" s="7"/>
      <c r="AE61" s="7"/>
    </row>
    <row r="62" ht="13.5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"/>
      <c r="AD62" s="7"/>
      <c r="AE62" s="7"/>
    </row>
    <row r="63" ht="13.5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9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"/>
      <c r="AD63" s="7"/>
      <c r="AE63" s="7"/>
    </row>
    <row r="64" ht="13.5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80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"/>
      <c r="AD64" s="7"/>
      <c r="AE64" s="7"/>
    </row>
    <row r="65" ht="13.5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"/>
      <c r="AD65" s="7"/>
      <c r="AE65" s="7"/>
    </row>
    <row r="66" ht="13.5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"/>
      <c r="AD66" s="7"/>
      <c r="AE66" s="7"/>
    </row>
    <row r="67" ht="13.5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9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"/>
      <c r="AD67" s="7"/>
      <c r="AE67" s="7"/>
    </row>
    <row r="68" ht="13.5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81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"/>
      <c r="AD68" s="7"/>
      <c r="AE68" s="7"/>
    </row>
    <row r="69" ht="13.5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"/>
      <c r="AD69" s="7"/>
      <c r="AE69" s="7"/>
    </row>
    <row r="70" ht="13.5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9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"/>
      <c r="AD70" s="7"/>
      <c r="AE70" s="7"/>
    </row>
    <row r="71" ht="13.5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80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"/>
      <c r="AD71" s="7"/>
      <c r="AE71" s="7"/>
    </row>
    <row r="72" ht="13.5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"/>
      <c r="AD72" s="7"/>
      <c r="AE72" s="7"/>
    </row>
    <row r="73" ht="13.5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"/>
      <c r="AD73" s="7"/>
      <c r="AE73" s="7"/>
    </row>
    <row r="74" ht="13.5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9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"/>
      <c r="AD74" s="7"/>
      <c r="AE74" s="7"/>
    </row>
    <row r="75" ht="13.5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81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"/>
      <c r="AD75" s="7"/>
      <c r="AE75" s="7"/>
    </row>
    <row r="76" ht="13.5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"/>
      <c r="AD76" s="7"/>
      <c r="AE76" s="7"/>
    </row>
    <row r="77" ht="13.5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9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"/>
      <c r="AD77" s="7"/>
      <c r="AE77" s="7"/>
    </row>
    <row r="78" ht="13.5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80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"/>
      <c r="AD78" s="7"/>
      <c r="AE78" s="7"/>
    </row>
    <row r="79" ht="13.5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"/>
      <c r="AD79" s="7"/>
      <c r="AE79" s="7"/>
    </row>
    <row r="80" ht="13.5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"/>
      <c r="AD80" s="7"/>
      <c r="AE80" s="7"/>
    </row>
    <row r="81" ht="13.5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9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"/>
      <c r="AD81" s="7"/>
      <c r="AE81" s="7"/>
    </row>
    <row r="82" ht="13.5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81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"/>
      <c r="AD82" s="7"/>
      <c r="AE82" s="7"/>
    </row>
    <row r="83" ht="13.5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"/>
      <c r="AD83" s="7"/>
      <c r="AE83" s="7"/>
    </row>
    <row r="84" ht="13.5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9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"/>
      <c r="AD84" s="7"/>
      <c r="AE84" s="7"/>
    </row>
    <row r="85" ht="13.5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80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"/>
      <c r="AD85" s="7"/>
      <c r="AE85" s="7"/>
    </row>
    <row r="86" ht="13.5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"/>
      <c r="AD86" s="7"/>
      <c r="AE86" s="7"/>
    </row>
    <row r="87" ht="13.5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"/>
      <c r="AD87" s="7"/>
      <c r="AE87" s="7"/>
    </row>
    <row r="88" ht="13.5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9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"/>
      <c r="AD88" s="7"/>
      <c r="AE88" s="7"/>
    </row>
    <row r="89" ht="13.5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81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"/>
      <c r="AD89" s="7"/>
      <c r="AE89" s="7"/>
    </row>
    <row r="90" ht="13.5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"/>
      <c r="AD90" s="7"/>
      <c r="AE90" s="7"/>
    </row>
    <row r="91" ht="13.5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9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"/>
      <c r="AD91" s="7"/>
      <c r="AE91" s="7"/>
    </row>
    <row r="92" ht="13.5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80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"/>
      <c r="AD92" s="7"/>
      <c r="AE92" s="7"/>
    </row>
    <row r="93" ht="13.5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"/>
      <c r="AD93" s="7"/>
      <c r="AE93" s="7"/>
    </row>
    <row r="94" ht="13.5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"/>
      <c r="AD94" s="7"/>
      <c r="AE94" s="7"/>
    </row>
    <row r="95" ht="13.5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9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"/>
      <c r="AD95" s="7"/>
      <c r="AE95" s="7"/>
    </row>
    <row r="96" ht="13.5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81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"/>
      <c r="AD96" s="7"/>
      <c r="AE96" s="7"/>
    </row>
    <row r="97" ht="13.5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"/>
      <c r="AD97" s="7"/>
      <c r="AE97" s="7"/>
    </row>
    <row r="98" ht="13.5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9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"/>
      <c r="AD98" s="7"/>
      <c r="AE98" s="7"/>
    </row>
    <row r="99" ht="13.5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80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"/>
      <c r="AD99" s="7"/>
      <c r="AE99" s="7"/>
    </row>
    <row r="100" ht="13.5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80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"/>
      <c r="AD100" s="7"/>
      <c r="AE100" s="7"/>
    </row>
    <row r="101" ht="13.5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"/>
      <c r="AD101" s="7"/>
      <c r="AE101" s="7"/>
    </row>
    <row r="102" ht="13.5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9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"/>
      <c r="AD102" s="7"/>
      <c r="AE102" s="7"/>
    </row>
    <row r="103" ht="13.5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81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"/>
      <c r="AD103" s="7"/>
      <c r="AE103" s="7"/>
    </row>
    <row r="104" ht="13.5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"/>
      <c r="AD104" s="7"/>
      <c r="AE104" s="7"/>
    </row>
    <row r="105" ht="13.5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9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"/>
      <c r="AD105" s="7"/>
      <c r="AE105" s="7"/>
    </row>
    <row r="106" ht="13.5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80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"/>
      <c r="AD106" s="7"/>
      <c r="AE106" s="7"/>
    </row>
    <row r="107" ht="13.5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"/>
      <c r="AD107" s="7"/>
      <c r="AE107" s="7"/>
    </row>
    <row r="108" ht="13.5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"/>
      <c r="AD108" s="7"/>
      <c r="AE108" s="7"/>
    </row>
    <row r="109" ht="13.5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9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"/>
      <c r="AD109" s="7"/>
      <c r="AE109" s="7"/>
    </row>
    <row r="110" ht="13.5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81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"/>
      <c r="AD110" s="7"/>
      <c r="AE110" s="7"/>
    </row>
    <row r="111" ht="13.5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"/>
      <c r="AD111" s="7"/>
      <c r="AE111" s="7"/>
    </row>
    <row r="112" ht="13.5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9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"/>
      <c r="AD112" s="7"/>
      <c r="AE112" s="7"/>
    </row>
    <row r="113" ht="13.5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80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"/>
      <c r="AD113" s="7"/>
      <c r="AE113" s="7"/>
    </row>
    <row r="114" ht="13.5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"/>
      <c r="AD114" s="7"/>
      <c r="AE114" s="7"/>
    </row>
    <row r="115" ht="13.5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"/>
      <c r="AD115" s="7"/>
      <c r="AE115" s="7"/>
    </row>
    <row r="116" ht="13.5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9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"/>
      <c r="AD116" s="7"/>
      <c r="AE116" s="7"/>
    </row>
    <row r="117" ht="13.5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81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"/>
      <c r="AD117" s="7"/>
      <c r="AE117" s="7"/>
    </row>
    <row r="118" ht="13.5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"/>
      <c r="AD118" s="7"/>
      <c r="AE118" s="7"/>
    </row>
    <row r="119" ht="13.5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9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"/>
      <c r="AD119" s="7"/>
      <c r="AE119" s="7"/>
    </row>
    <row r="120" ht="13.5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80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"/>
      <c r="AD120" s="7"/>
      <c r="AE120" s="7"/>
    </row>
    <row r="121" ht="13.5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"/>
      <c r="AD121" s="7"/>
      <c r="AE121" s="7"/>
    </row>
    <row r="122" ht="13.5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"/>
      <c r="AD122" s="7"/>
      <c r="AE122" s="7"/>
    </row>
    <row r="123" ht="13.5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9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"/>
      <c r="AD123" s="7"/>
      <c r="AE123" s="7"/>
    </row>
    <row r="124" ht="13.5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81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"/>
      <c r="AD124" s="7"/>
      <c r="AE124" s="7"/>
    </row>
    <row r="125" ht="13.5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"/>
      <c r="AD125" s="7"/>
      <c r="AE125" s="7"/>
    </row>
    <row r="126" ht="13.5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9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"/>
      <c r="AD126" s="7"/>
      <c r="AE126" s="7"/>
    </row>
    <row r="127" ht="13.5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80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"/>
      <c r="AD127" s="7"/>
      <c r="AE127" s="7"/>
    </row>
    <row r="128" ht="13.5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"/>
      <c r="AD128" s="7"/>
      <c r="AE128" s="7"/>
    </row>
    <row r="129" ht="13.5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"/>
      <c r="AD129" s="7"/>
      <c r="AE129" s="7"/>
    </row>
    <row r="130" ht="13.5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9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"/>
      <c r="AD130" s="7"/>
      <c r="AE130" s="7"/>
    </row>
    <row r="131" ht="13.5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81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"/>
      <c r="AD131" s="7"/>
      <c r="AE131" s="7"/>
    </row>
    <row r="132" ht="13.5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"/>
      <c r="AD132" s="7"/>
      <c r="AE132" s="7"/>
    </row>
    <row r="133" ht="13.5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9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"/>
      <c r="AD133" s="7"/>
      <c r="AE133" s="7"/>
    </row>
    <row r="134" ht="13.5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80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"/>
      <c r="AD134" s="7"/>
      <c r="AE134" s="7"/>
    </row>
    <row r="135" ht="13.5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"/>
      <c r="AD135" s="7"/>
      <c r="AE135" s="7"/>
    </row>
    <row r="136" ht="13.5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"/>
      <c r="AD136" s="7"/>
      <c r="AE136" s="7"/>
    </row>
    <row r="137" ht="13.5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9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"/>
      <c r="AD137" s="7"/>
      <c r="AE137" s="7"/>
    </row>
    <row r="138" ht="13.5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81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"/>
      <c r="AD138" s="7"/>
      <c r="AE138" s="7"/>
    </row>
    <row r="139" ht="13.5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"/>
      <c r="AD139" s="7"/>
      <c r="AE139" s="7"/>
    </row>
    <row r="140" ht="13.5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9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"/>
      <c r="AD140" s="7"/>
      <c r="AE140" s="7"/>
    </row>
    <row r="141" ht="13.5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80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"/>
      <c r="AD141" s="7"/>
      <c r="AE141" s="7"/>
    </row>
    <row r="142" ht="13.5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"/>
      <c r="AD142" s="7"/>
      <c r="AE142" s="7"/>
    </row>
    <row r="143" ht="13.5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5"/>
      <c r="P143" s="7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"/>
      <c r="AD143" s="7"/>
      <c r="AE143" s="7"/>
    </row>
    <row r="144" ht="13.5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5"/>
      <c r="P144" s="79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"/>
      <c r="AD144" s="7"/>
      <c r="AE144" s="7"/>
    </row>
    <row r="145" ht="13.5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5"/>
      <c r="P145" s="81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"/>
      <c r="AD145" s="7"/>
      <c r="AE145" s="7"/>
    </row>
    <row r="146" ht="13.5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5"/>
      <c r="P146" s="7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"/>
      <c r="AD146" s="7"/>
      <c r="AE146" s="7"/>
    </row>
    <row r="147" ht="13.5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5"/>
      <c r="P147" s="79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"/>
      <c r="AD147" s="7"/>
      <c r="AE147" s="7"/>
    </row>
    <row r="148" ht="13.5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5"/>
      <c r="P148" s="80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"/>
      <c r="AD148" s="7"/>
      <c r="AE148" s="7"/>
    </row>
    <row r="149" ht="13.5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3.5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5"/>
      <c r="P150" s="7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"/>
      <c r="AD150" s="7"/>
      <c r="AE150" s="7"/>
    </row>
    <row r="151" ht="13.5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5"/>
      <c r="P151" s="79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"/>
      <c r="AD151" s="7"/>
      <c r="AE151" s="7"/>
    </row>
    <row r="152" ht="13.5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5"/>
      <c r="P152" s="81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"/>
      <c r="AD152" s="7"/>
      <c r="AE152" s="7"/>
    </row>
    <row r="153" ht="13.5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5"/>
      <c r="P153" s="7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"/>
      <c r="AD153" s="7"/>
      <c r="AE153" s="7"/>
    </row>
    <row r="154" ht="13.5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5"/>
      <c r="P154" s="79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"/>
      <c r="AD154" s="7"/>
      <c r="AE154" s="7"/>
    </row>
    <row r="155" ht="13.5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5"/>
      <c r="P155" s="80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"/>
      <c r="AD155" s="7"/>
      <c r="AE155" s="7"/>
    </row>
    <row r="156" ht="13.5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3.5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5"/>
      <c r="P157" s="7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"/>
      <c r="AD157" s="7"/>
      <c r="AE157" s="7"/>
    </row>
    <row r="158" ht="13.5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5"/>
      <c r="P158" s="79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"/>
      <c r="AD158" s="7"/>
      <c r="AE158" s="7"/>
    </row>
    <row r="159" ht="13.5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5"/>
      <c r="P159" s="81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"/>
      <c r="AD159" s="7"/>
      <c r="AE159" s="7"/>
    </row>
    <row r="160" ht="13.5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5"/>
      <c r="P160" s="7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"/>
      <c r="AD160" s="7"/>
      <c r="AE160" s="7"/>
    </row>
    <row r="161" ht="13.5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5"/>
      <c r="P161" s="79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"/>
      <c r="AD161" s="7"/>
      <c r="AE161" s="7"/>
    </row>
    <row r="162" ht="13.5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5"/>
      <c r="P162" s="80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"/>
      <c r="AD162" s="7"/>
      <c r="AE162" s="7"/>
    </row>
    <row r="163" ht="13.5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3.5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5"/>
      <c r="P164" s="7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"/>
      <c r="AD164" s="7"/>
      <c r="AE164" s="7"/>
    </row>
    <row r="165" ht="13.5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5"/>
      <c r="P165" s="79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"/>
      <c r="AD165" s="7"/>
      <c r="AE165" s="7"/>
    </row>
    <row r="166" ht="13.5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5"/>
      <c r="P166" s="81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"/>
      <c r="AD166" s="7"/>
      <c r="AE166" s="7"/>
    </row>
    <row r="167" ht="13.5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5"/>
      <c r="P167" s="7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"/>
      <c r="AD167" s="7"/>
      <c r="AE167" s="7"/>
    </row>
    <row r="168" ht="13.5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5"/>
      <c r="P168" s="79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"/>
      <c r="AD168" s="7"/>
      <c r="AE168" s="7"/>
    </row>
    <row r="169" ht="13.5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5"/>
      <c r="P169" s="80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"/>
      <c r="AD169" s="7"/>
      <c r="AE169" s="7"/>
    </row>
    <row r="170" ht="13.5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3.5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5"/>
      <c r="P171" s="7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"/>
      <c r="AD171" s="7"/>
      <c r="AE171" s="7"/>
    </row>
    <row r="172" ht="13.5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5"/>
      <c r="P172" s="79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"/>
      <c r="AD172" s="7"/>
      <c r="AE172" s="7"/>
    </row>
    <row r="173" ht="13.5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5"/>
      <c r="P173" s="81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"/>
      <c r="AD173" s="7"/>
      <c r="AE173" s="7"/>
    </row>
    <row r="174" ht="13.5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5"/>
      <c r="P174" s="7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"/>
      <c r="AD174" s="7"/>
      <c r="AE174" s="7"/>
    </row>
    <row r="175" ht="13.5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5"/>
      <c r="P175" s="79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"/>
      <c r="AD175" s="7"/>
      <c r="AE175" s="7"/>
    </row>
    <row r="176" ht="13.5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5"/>
      <c r="P176" s="80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"/>
      <c r="AD176" s="7"/>
      <c r="AE176" s="7"/>
    </row>
    <row r="177" ht="13.5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3.5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5"/>
      <c r="P178" s="7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"/>
      <c r="AD178" s="7"/>
      <c r="AE178" s="7"/>
    </row>
    <row r="179" ht="13.5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5"/>
      <c r="P179" s="79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"/>
      <c r="AD179" s="7"/>
      <c r="AE179" s="7"/>
    </row>
    <row r="180" ht="13.5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5"/>
      <c r="P180" s="81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"/>
      <c r="AD180" s="7"/>
      <c r="AE180" s="7"/>
    </row>
    <row r="181" ht="13.5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5"/>
      <c r="P181" s="7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"/>
      <c r="AD181" s="7"/>
      <c r="AE181" s="7"/>
    </row>
    <row r="182" ht="13.5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5"/>
      <c r="P182" s="79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"/>
      <c r="AD182" s="7"/>
      <c r="AE182" s="7"/>
    </row>
    <row r="183" ht="13.5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5"/>
      <c r="P183" s="80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"/>
      <c r="AD183" s="7"/>
      <c r="AE183" s="7"/>
    </row>
    <row r="184" ht="13.5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3.5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5"/>
      <c r="P185" s="7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"/>
      <c r="AD185" s="7"/>
      <c r="AE185" s="7"/>
    </row>
    <row r="186" ht="13.5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5"/>
      <c r="P186" s="79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"/>
      <c r="AD186" s="7"/>
      <c r="AE186" s="7"/>
    </row>
    <row r="187" ht="13.5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5"/>
      <c r="P187" s="81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"/>
      <c r="AD187" s="7"/>
      <c r="AE187" s="7"/>
    </row>
    <row r="188" ht="13.5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5"/>
      <c r="P188" s="7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"/>
      <c r="AD188" s="7"/>
      <c r="AE188" s="7"/>
    </row>
    <row r="189" ht="13.5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5"/>
      <c r="P189" s="79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"/>
      <c r="AD189" s="7"/>
      <c r="AE189" s="7"/>
    </row>
    <row r="190" ht="13.5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5"/>
      <c r="P190" s="80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"/>
      <c r="AD190" s="7"/>
      <c r="AE190" s="7"/>
    </row>
    <row r="191" ht="13.5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3.5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5"/>
      <c r="P192" s="7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"/>
      <c r="AD192" s="7"/>
      <c r="AE192" s="7"/>
    </row>
    <row r="193" ht="13.5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5"/>
      <c r="P193" s="79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"/>
      <c r="AD193" s="7"/>
      <c r="AE193" s="7"/>
    </row>
    <row r="194" ht="13.5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5"/>
      <c r="P194" s="81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"/>
      <c r="AD194" s="7"/>
      <c r="AE194" s="7"/>
    </row>
    <row r="195" ht="13.5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5"/>
      <c r="P195" s="7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"/>
      <c r="AD195" s="7"/>
      <c r="AE195" s="7"/>
    </row>
    <row r="196" ht="13.5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5"/>
      <c r="P196" s="79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"/>
      <c r="AD196" s="7"/>
      <c r="AE196" s="7"/>
    </row>
    <row r="197" ht="13.5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5"/>
      <c r="P197" s="80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"/>
      <c r="AD197" s="7"/>
      <c r="AE197" s="7"/>
    </row>
    <row r="198" ht="13.5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3.5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5"/>
      <c r="P199" s="7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"/>
      <c r="AD199" s="7"/>
      <c r="AE199" s="7"/>
    </row>
    <row r="200" ht="13.5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5"/>
      <c r="P200" s="79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"/>
      <c r="AD200" s="7"/>
      <c r="AE200" s="7"/>
    </row>
    <row r="201" ht="13.5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5"/>
      <c r="P201" s="81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"/>
      <c r="AD201" s="7"/>
      <c r="AE201" s="7"/>
    </row>
    <row r="202" ht="13.5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5"/>
      <c r="P202" s="7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"/>
      <c r="AD202" s="7"/>
      <c r="AE202" s="7"/>
    </row>
    <row r="203" ht="13.5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5"/>
      <c r="P203" s="79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"/>
      <c r="AD203" s="7"/>
      <c r="AE203" s="7"/>
    </row>
    <row r="204" ht="13.5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5"/>
      <c r="P204" s="80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"/>
      <c r="AD204" s="7"/>
      <c r="AE204" s="7"/>
    </row>
    <row r="205" ht="13.5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3.5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5"/>
      <c r="P206" s="7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"/>
      <c r="AD206" s="7"/>
      <c r="AE206" s="7"/>
    </row>
    <row r="207" ht="13.5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5"/>
      <c r="P207" s="79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"/>
      <c r="AD207" s="7"/>
      <c r="AE207" s="7"/>
    </row>
    <row r="208" ht="13.5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5"/>
      <c r="P208" s="81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"/>
      <c r="AD208" s="7"/>
      <c r="AE208" s="7"/>
    </row>
    <row r="209" ht="13.5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5"/>
      <c r="P209" s="7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"/>
      <c r="AD209" s="7"/>
      <c r="AE209" s="7"/>
    </row>
    <row r="210" ht="13.5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5"/>
      <c r="P210" s="79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"/>
      <c r="AD210" s="7"/>
      <c r="AE210" s="7"/>
    </row>
    <row r="211" ht="13.5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5"/>
      <c r="P211" s="80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"/>
      <c r="AD211" s="7"/>
      <c r="AE211" s="7"/>
    </row>
    <row r="212" ht="13.5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3.5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5"/>
      <c r="P213" s="7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"/>
      <c r="AD213" s="7"/>
      <c r="AE213" s="7"/>
    </row>
    <row r="214" ht="13.5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5"/>
      <c r="P214" s="79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"/>
      <c r="AD214" s="7"/>
      <c r="AE214" s="7"/>
    </row>
    <row r="215" ht="13.5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5"/>
      <c r="P215" s="81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"/>
      <c r="AD215" s="7"/>
      <c r="AE215" s="7"/>
    </row>
    <row r="216" ht="13.5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5"/>
      <c r="P216" s="7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"/>
      <c r="AD216" s="7"/>
      <c r="AE216" s="7"/>
    </row>
    <row r="217" ht="13.5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5"/>
      <c r="P217" s="79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"/>
      <c r="AD217" s="7"/>
      <c r="AE217" s="7"/>
    </row>
    <row r="218" ht="13.5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5"/>
      <c r="P218" s="80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"/>
      <c r="AD218" s="7"/>
      <c r="AE218" s="7"/>
    </row>
    <row r="219" ht="13.5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3.5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5"/>
      <c r="P220" s="7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"/>
      <c r="AD220" s="7"/>
      <c r="AE220" s="7"/>
    </row>
    <row r="221" ht="13.5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5"/>
      <c r="P221" s="79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"/>
      <c r="AD221" s="7"/>
      <c r="AE221" s="7"/>
    </row>
    <row r="222" ht="13.5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5"/>
      <c r="P222" s="81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"/>
      <c r="AD222" s="7"/>
      <c r="AE222" s="7"/>
    </row>
    <row r="223" ht="13.5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5"/>
      <c r="P223" s="7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"/>
      <c r="AD223" s="7"/>
      <c r="AE223" s="7"/>
    </row>
    <row r="224" ht="13.5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5"/>
      <c r="P224" s="79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"/>
      <c r="AD224" s="7"/>
      <c r="AE224" s="7"/>
    </row>
    <row r="225" ht="13.5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5"/>
      <c r="P225" s="80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"/>
      <c r="AD225" s="7"/>
      <c r="AE225" s="7"/>
    </row>
    <row r="226" ht="13.5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3.5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5"/>
      <c r="P227" s="7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"/>
      <c r="AD227" s="7"/>
      <c r="AE227" s="7"/>
    </row>
    <row r="228" ht="13.5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5"/>
      <c r="P228" s="79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"/>
      <c r="AD228" s="7"/>
      <c r="AE228" s="7"/>
    </row>
    <row r="229" ht="13.5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5"/>
      <c r="P229" s="81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"/>
      <c r="AD229" s="7"/>
      <c r="AE229" s="7"/>
    </row>
    <row r="230" ht="13.5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5"/>
      <c r="P230" s="7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"/>
      <c r="AD230" s="7"/>
      <c r="AE230" s="7"/>
    </row>
    <row r="231" ht="13.5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5"/>
      <c r="P231" s="79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"/>
      <c r="AD231" s="7"/>
      <c r="AE231" s="7"/>
    </row>
    <row r="232" ht="13.5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5"/>
      <c r="P232" s="80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"/>
      <c r="AD232" s="7"/>
      <c r="AE232" s="7"/>
    </row>
    <row r="233" ht="13.5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3.5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5"/>
      <c r="P234" s="7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"/>
      <c r="AD234" s="7"/>
      <c r="AE234" s="7"/>
    </row>
    <row r="235" ht="13.5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5"/>
      <c r="P235" s="79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"/>
      <c r="AD235" s="7"/>
      <c r="AE235" s="7"/>
    </row>
    <row r="236" ht="13.5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5"/>
      <c r="P236" s="81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"/>
      <c r="AD236" s="7"/>
      <c r="AE236" s="7"/>
    </row>
    <row r="237" ht="13.5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5"/>
      <c r="P237" s="7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"/>
      <c r="AD237" s="7"/>
      <c r="AE237" s="7"/>
    </row>
    <row r="238" ht="13.5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5"/>
      <c r="P238" s="79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"/>
      <c r="AD238" s="7"/>
      <c r="AE238" s="7"/>
    </row>
    <row r="239" ht="13.5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5"/>
      <c r="P239" s="80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"/>
      <c r="AD239" s="7"/>
      <c r="AE239" s="7"/>
    </row>
    <row r="240" ht="13.5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3.5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5"/>
      <c r="P241" s="7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"/>
      <c r="AD241" s="7"/>
      <c r="AE241" s="7"/>
    </row>
    <row r="242" ht="13.5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5"/>
      <c r="P242" s="79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"/>
      <c r="AD242" s="7"/>
      <c r="AE242" s="7"/>
    </row>
    <row r="243" ht="13.5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5"/>
      <c r="P243" s="81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"/>
      <c r="AD243" s="7"/>
      <c r="AE243" s="7"/>
    </row>
    <row r="244" ht="13.5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5"/>
      <c r="P244" s="7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"/>
      <c r="AD244" s="7"/>
      <c r="AE244" s="7"/>
    </row>
    <row r="245" ht="13.5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5"/>
      <c r="P245" s="79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"/>
      <c r="AD245" s="7"/>
      <c r="AE245" s="7"/>
    </row>
    <row r="246" ht="13.5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5"/>
      <c r="P246" s="80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"/>
      <c r="AD246" s="7"/>
      <c r="AE246" s="7"/>
    </row>
    <row r="247" ht="13.5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13.5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5"/>
      <c r="P248" s="7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"/>
      <c r="AD248" s="7"/>
      <c r="AE248" s="7"/>
    </row>
    <row r="249" ht="13.5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5"/>
      <c r="P249" s="79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"/>
      <c r="AD249" s="7"/>
      <c r="AE249" s="7"/>
    </row>
    <row r="250" ht="13.5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5"/>
      <c r="P250" s="81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"/>
      <c r="AD250" s="7"/>
      <c r="AE250" s="7"/>
    </row>
    <row r="251" ht="13.5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5"/>
      <c r="P251" s="7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"/>
      <c r="AD251" s="7"/>
      <c r="AE251" s="7"/>
    </row>
    <row r="252" ht="13.5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5"/>
      <c r="P252" s="79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"/>
      <c r="AD252" s="7"/>
      <c r="AE252" s="7"/>
    </row>
    <row r="253" ht="13.5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5"/>
      <c r="P253" s="80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"/>
      <c r="AD253" s="7"/>
      <c r="AE253" s="7"/>
    </row>
    <row r="254" ht="13.5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13.5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5"/>
      <c r="P255" s="7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"/>
      <c r="AD255" s="7"/>
      <c r="AE255" s="7"/>
    </row>
    <row r="256" ht="13.5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5"/>
      <c r="P256" s="79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"/>
      <c r="AD256" s="7"/>
      <c r="AE256" s="7"/>
    </row>
    <row r="257" ht="13.5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5"/>
      <c r="P257" s="81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"/>
      <c r="AD257" s="7"/>
      <c r="AE257" s="7"/>
    </row>
    <row r="258" ht="13.5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5"/>
      <c r="P258" s="7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"/>
      <c r="AD258" s="7"/>
      <c r="AE258" s="7"/>
    </row>
    <row r="259" ht="13.5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5"/>
      <c r="P259" s="79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"/>
      <c r="AD259" s="7"/>
      <c r="AE259" s="7"/>
    </row>
    <row r="260" ht="13.5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5"/>
      <c r="P260" s="80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"/>
      <c r="AD260" s="7"/>
      <c r="AE260" s="7"/>
    </row>
    <row r="261" ht="13.5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13.5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5"/>
      <c r="P262" s="7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"/>
      <c r="AD262" s="7"/>
      <c r="AE262" s="7"/>
    </row>
    <row r="263" ht="13.5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5"/>
      <c r="P263" s="79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"/>
      <c r="AD263" s="7"/>
      <c r="AE263" s="7"/>
    </row>
    <row r="264" ht="13.5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5"/>
      <c r="P264" s="81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"/>
      <c r="AD264" s="7"/>
      <c r="AE264" s="7"/>
    </row>
    <row r="265" ht="13.5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5"/>
      <c r="P265" s="7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"/>
      <c r="AD265" s="7"/>
      <c r="AE265" s="7"/>
    </row>
    <row r="266" ht="13.5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5"/>
      <c r="P266" s="79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"/>
      <c r="AD266" s="7"/>
      <c r="AE266" s="7"/>
    </row>
    <row r="267" ht="13.5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5"/>
      <c r="P267" s="80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"/>
      <c r="AD267" s="7"/>
      <c r="AE267" s="7"/>
    </row>
    <row r="268" ht="13.5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13.5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5"/>
      <c r="P269" s="7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"/>
      <c r="AD269" s="7"/>
      <c r="AE269" s="7"/>
    </row>
    <row r="270" ht="13.5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5"/>
      <c r="P270" s="79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"/>
      <c r="AD270" s="7"/>
      <c r="AE270" s="7"/>
    </row>
    <row r="271" ht="13.5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5"/>
      <c r="P271" s="81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"/>
      <c r="AD271" s="7"/>
      <c r="AE271" s="7"/>
    </row>
    <row r="272" ht="13.5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5"/>
      <c r="P272" s="7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"/>
      <c r="AD272" s="7"/>
      <c r="AE272" s="7"/>
    </row>
    <row r="273" ht="13.5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5"/>
      <c r="P273" s="79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"/>
      <c r="AD273" s="7"/>
      <c r="AE273" s="7"/>
    </row>
    <row r="274" ht="13.5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5"/>
      <c r="P274" s="80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"/>
      <c r="AD274" s="7"/>
      <c r="AE274" s="7"/>
    </row>
    <row r="275" ht="13.5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13.5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5"/>
      <c r="P276" s="7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"/>
      <c r="AD276" s="7"/>
      <c r="AE276" s="7"/>
    </row>
    <row r="277" ht="13.5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5"/>
      <c r="P277" s="79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"/>
      <c r="AD277" s="7"/>
      <c r="AE277" s="7"/>
    </row>
    <row r="278" ht="13.5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5"/>
      <c r="P278" s="81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"/>
      <c r="AD278" s="7"/>
      <c r="AE278" s="7"/>
    </row>
    <row r="279" ht="13.5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5"/>
      <c r="P279" s="7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"/>
      <c r="AD279" s="7"/>
      <c r="AE279" s="7"/>
    </row>
    <row r="280" ht="13.5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5"/>
      <c r="P280" s="79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"/>
      <c r="AD280" s="7"/>
      <c r="AE280" s="7"/>
    </row>
    <row r="281" ht="13.5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5"/>
      <c r="P281" s="80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"/>
      <c r="AD281" s="7"/>
      <c r="AE281" s="7"/>
    </row>
  </sheetData>
  <mergeCells count="35">
    <mergeCell ref="L13:L15"/>
    <mergeCell ref="N13:N15"/>
    <mergeCell ref="P13:P15"/>
    <mergeCell ref="A38:A43"/>
    <mergeCell ref="F20:F22"/>
    <mergeCell ref="L20:L22"/>
    <mergeCell ref="N20:N22"/>
    <mergeCell ref="P20:P22"/>
    <mergeCell ref="F13:F15"/>
    <mergeCell ref="H13:H15"/>
    <mergeCell ref="A10:A15"/>
    <mergeCell ref="A24:A29"/>
    <mergeCell ref="A31:A36"/>
    <mergeCell ref="H20:H22"/>
    <mergeCell ref="A17:A22"/>
    <mergeCell ref="W2:X2"/>
    <mergeCell ref="Y2:Z2"/>
    <mergeCell ref="AA2:AB2"/>
    <mergeCell ref="U2:V2"/>
    <mergeCell ref="A3:A8"/>
    <mergeCell ref="L6:L8"/>
    <mergeCell ref="P6:P8"/>
    <mergeCell ref="O2:P2"/>
    <mergeCell ref="Q2:R2"/>
    <mergeCell ref="S2:T2"/>
    <mergeCell ref="N6:N8"/>
    <mergeCell ref="K2:L2"/>
    <mergeCell ref="M2:N2"/>
    <mergeCell ref="A1:J1"/>
    <mergeCell ref="I2:J2"/>
    <mergeCell ref="F6:F8"/>
    <mergeCell ref="H6:H8"/>
    <mergeCell ref="J6:J8"/>
    <mergeCell ref="E2:F2"/>
    <mergeCell ref="G2:H2"/>
  </mergeCells>
  <pageMargins left="0.1" right="0.18" top="0.5" bottom="0.5" header="0.3" footer="0.3"/>
  <pageSetup firstPageNumber="1" fitToHeight="1" fitToWidth="1" scale="66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AF57"/>
  <sheetViews>
    <sheetView workbookViewId="0" showGridLines="0" defaultGridColor="1"/>
  </sheetViews>
  <sheetFormatPr defaultColWidth="8.83333" defaultRowHeight="15" customHeight="1" outlineLevelRow="0" outlineLevelCol="0"/>
  <cols>
    <col min="1" max="1" width="5.5" style="361" customWidth="1"/>
    <col min="2" max="2" width="17.3516" style="361" customWidth="1"/>
    <col min="3" max="3" width="9.17188" style="361" customWidth="1"/>
    <col min="4" max="4" width="7.5" style="361" customWidth="1"/>
    <col min="5" max="5" width="7" style="361" customWidth="1"/>
    <col min="6" max="7" width="9.17188" style="361" customWidth="1"/>
    <col min="8" max="8" width="6.85156" style="361" customWidth="1"/>
    <col min="9" max="9" width="9.17188" style="361" customWidth="1"/>
    <col min="10" max="10" width="6.67188" style="361" customWidth="1"/>
    <col min="11" max="11" width="9.17188" style="361" customWidth="1"/>
    <col min="12" max="12" width="7" style="361" customWidth="1"/>
    <col min="13" max="13" width="9.17188" style="361" customWidth="1"/>
    <col min="14" max="14" width="7.17188" style="361" customWidth="1"/>
    <col min="15" max="15" width="6.67188" style="361" customWidth="1"/>
    <col min="16" max="16" width="6.5" style="361" customWidth="1"/>
    <col min="17" max="17" width="9.17188" style="361" customWidth="1"/>
    <col min="18" max="18" width="6.35156" style="361" customWidth="1"/>
    <col min="19" max="19" width="9.17188" style="361" customWidth="1"/>
    <col min="20" max="21" width="6.85156" style="361" customWidth="1"/>
    <col min="22" max="22" width="6.5" style="361" customWidth="1"/>
    <col min="23" max="23" width="9.17188" style="361" customWidth="1"/>
    <col min="24" max="29" width="7.5" style="361" customWidth="1"/>
    <col min="30" max="30" width="9.35156" style="361" customWidth="1"/>
    <col min="31" max="31" width="7.5" style="361" customWidth="1"/>
    <col min="32" max="32" width="8.85156" style="361" customWidth="1"/>
    <col min="33" max="16384" width="8.85156" style="361" customWidth="1"/>
  </cols>
  <sheetData>
    <row r="1" ht="24.75" customHeight="1">
      <c r="A1" s="362"/>
      <c r="B1" t="s" s="173">
        <v>714</v>
      </c>
      <c r="C1" s="363"/>
      <c r="D1" s="363"/>
      <c r="E1" s="364"/>
      <c r="F1" s="364"/>
      <c r="G1" s="364"/>
      <c r="H1" s="364"/>
      <c r="I1" s="364"/>
      <c r="J1" s="364"/>
      <c r="K1" s="364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6"/>
      <c r="AE1" s="177"/>
      <c r="AF1" s="7"/>
    </row>
    <row r="2" ht="16.5" customHeight="1">
      <c r="A2" t="s" s="342">
        <v>1</v>
      </c>
      <c r="B2" t="s" s="8">
        <v>2</v>
      </c>
      <c r="C2" s="289"/>
      <c r="D2" s="289"/>
      <c r="E2" s="274"/>
      <c r="F2" s="275">
        <v>46113</v>
      </c>
      <c r="G2" s="276"/>
      <c r="H2" s="275">
        <v>46143</v>
      </c>
      <c r="I2" s="276"/>
      <c r="J2" s="275">
        <v>46174</v>
      </c>
      <c r="K2" s="276"/>
      <c r="L2" s="275">
        <v>46204</v>
      </c>
      <c r="M2" s="276"/>
      <c r="N2" s="275">
        <v>46235</v>
      </c>
      <c r="O2" s="276"/>
      <c r="P2" s="275">
        <v>46266</v>
      </c>
      <c r="Q2" s="276"/>
      <c r="R2" s="275">
        <v>46296</v>
      </c>
      <c r="S2" s="276"/>
      <c r="T2" s="275">
        <v>46327</v>
      </c>
      <c r="U2" s="276"/>
      <c r="V2" s="275">
        <v>46357</v>
      </c>
      <c r="W2" s="276"/>
      <c r="X2" s="275">
        <v>46388</v>
      </c>
      <c r="Y2" s="276"/>
      <c r="Z2" s="275">
        <v>46419</v>
      </c>
      <c r="AA2" s="276"/>
      <c r="AB2" s="275">
        <v>46447</v>
      </c>
      <c r="AC2" s="276"/>
      <c r="AD2" t="s" s="323">
        <v>3</v>
      </c>
      <c r="AE2" s="177"/>
      <c r="AF2" s="7"/>
    </row>
    <row r="3" ht="13.75" customHeight="1">
      <c r="A3" s="83">
        <v>1</v>
      </c>
      <c r="B3" t="s" s="130">
        <v>715</v>
      </c>
      <c r="C3" s="9"/>
      <c r="D3" s="9"/>
      <c r="E3" t="s" s="8">
        <v>5</v>
      </c>
      <c r="F3" t="s" s="8">
        <v>6</v>
      </c>
      <c r="G3" s="16">
        <v>1076</v>
      </c>
      <c r="H3" t="s" s="8">
        <v>6</v>
      </c>
      <c r="I3" s="16">
        <v>3169</v>
      </c>
      <c r="J3" t="s" s="8">
        <v>6</v>
      </c>
      <c r="K3" s="16">
        <v>3278</v>
      </c>
      <c r="L3" t="s" s="8">
        <v>6</v>
      </c>
      <c r="M3" s="18"/>
      <c r="N3" t="s" s="8">
        <v>6</v>
      </c>
      <c r="O3" s="18"/>
      <c r="P3" t="s" s="8">
        <v>6</v>
      </c>
      <c r="Q3" s="18"/>
      <c r="R3" t="s" s="8">
        <v>6</v>
      </c>
      <c r="S3" s="18"/>
      <c r="T3" t="s" s="8">
        <v>6</v>
      </c>
      <c r="U3" s="18"/>
      <c r="V3" t="s" s="8">
        <v>6</v>
      </c>
      <c r="W3" s="18"/>
      <c r="X3" t="s" s="8">
        <v>6</v>
      </c>
      <c r="Y3" s="18"/>
      <c r="Z3" t="s" s="8">
        <v>6</v>
      </c>
      <c r="AA3" s="18"/>
      <c r="AB3" t="s" s="8">
        <v>6</v>
      </c>
      <c r="AC3" s="18"/>
      <c r="AD3" s="367"/>
      <c r="AE3" s="177"/>
      <c r="AF3" s="7"/>
    </row>
    <row r="4" ht="13.55" customHeight="1">
      <c r="A4" s="84"/>
      <c r="B4" s="27"/>
      <c r="C4" s="27"/>
      <c r="D4" s="27"/>
      <c r="E4" s="9"/>
      <c r="F4" t="s" s="8">
        <v>8</v>
      </c>
      <c r="G4" s="26">
        <v>1600</v>
      </c>
      <c r="H4" t="s" s="8">
        <v>8</v>
      </c>
      <c r="I4" s="26">
        <v>1600</v>
      </c>
      <c r="J4" t="s" s="8">
        <v>8</v>
      </c>
      <c r="K4" s="26">
        <v>1600</v>
      </c>
      <c r="L4" t="s" s="8">
        <v>8</v>
      </c>
      <c r="M4" s="27"/>
      <c r="N4" t="s" s="8">
        <v>8</v>
      </c>
      <c r="O4" s="27"/>
      <c r="P4" t="s" s="8">
        <v>8</v>
      </c>
      <c r="Q4" s="27"/>
      <c r="R4" t="s" s="8">
        <v>8</v>
      </c>
      <c r="S4" s="27"/>
      <c r="T4" t="s" s="8">
        <v>8</v>
      </c>
      <c r="U4" s="27"/>
      <c r="V4" t="s" s="8">
        <v>8</v>
      </c>
      <c r="W4" s="27"/>
      <c r="X4" t="s" s="8">
        <v>8</v>
      </c>
      <c r="Y4" s="27"/>
      <c r="Z4" t="s" s="8">
        <v>8</v>
      </c>
      <c r="AA4" s="27"/>
      <c r="AB4" t="s" s="8">
        <v>8</v>
      </c>
      <c r="AC4" s="27"/>
      <c r="AD4" s="368" cm="1">
        <f t="array" ref="AD4">G4+I4+K4+M4+O4+Q4+S4+U4+W4+Y4+AA4+AC4</f>
        <v>4800</v>
      </c>
      <c r="AE4" s="183" cm="1">
        <f t="array" ref="AE4">1500*12</f>
        <v>18000</v>
      </c>
      <c r="AF4" s="51" cm="1">
        <f t="array" ref="AF4">AE4-AD4</f>
        <v>13200</v>
      </c>
    </row>
    <row r="5" ht="13.55" customHeight="1">
      <c r="A5" s="84"/>
      <c r="B5" s="343"/>
      <c r="C5" t="s" s="344">
        <v>9</v>
      </c>
      <c r="D5" s="345">
        <v>1000</v>
      </c>
      <c r="E5" s="9"/>
      <c r="F5" t="s" s="8">
        <v>10</v>
      </c>
      <c r="G5" t="s" s="33">
        <v>17</v>
      </c>
      <c r="H5" t="s" s="8">
        <v>10</v>
      </c>
      <c r="I5" t="s" s="33">
        <v>142</v>
      </c>
      <c r="J5" t="s" s="8">
        <v>10</v>
      </c>
      <c r="K5" t="s" s="33">
        <v>716</v>
      </c>
      <c r="L5" t="s" s="8">
        <v>10</v>
      </c>
      <c r="M5" s="34"/>
      <c r="N5" t="s" s="8">
        <v>10</v>
      </c>
      <c r="O5" s="34"/>
      <c r="P5" t="s" s="8">
        <v>10</v>
      </c>
      <c r="Q5" s="34"/>
      <c r="R5" t="s" s="8">
        <v>10</v>
      </c>
      <c r="S5" s="34"/>
      <c r="T5" t="s" s="8">
        <v>10</v>
      </c>
      <c r="U5" s="34"/>
      <c r="V5" t="s" s="8">
        <v>10</v>
      </c>
      <c r="W5" s="34"/>
      <c r="X5" t="s" s="8">
        <v>10</v>
      </c>
      <c r="Y5" s="34"/>
      <c r="Z5" t="s" s="8">
        <v>10</v>
      </c>
      <c r="AA5" s="34"/>
      <c r="AB5" t="s" s="8">
        <v>10</v>
      </c>
      <c r="AC5" s="34"/>
      <c r="AD5" s="367"/>
      <c r="AE5" s="177"/>
      <c r="AF5" s="7"/>
    </row>
    <row r="6" ht="13.75" customHeight="1">
      <c r="A6" s="84"/>
      <c r="B6" t="s" s="8">
        <v>717</v>
      </c>
      <c r="C6" s="9"/>
      <c r="D6" s="27"/>
      <c r="E6" t="s" s="8">
        <v>14</v>
      </c>
      <c r="F6" t="s" s="8">
        <v>6</v>
      </c>
      <c r="G6" s="16">
        <v>2016</v>
      </c>
      <c r="H6" t="s" s="8">
        <v>6</v>
      </c>
      <c r="I6" s="16">
        <v>2152</v>
      </c>
      <c r="J6" t="s" s="8">
        <v>6</v>
      </c>
      <c r="K6" s="9"/>
      <c r="L6" t="s" s="8">
        <v>6</v>
      </c>
      <c r="M6" s="18"/>
      <c r="N6" t="s" s="8">
        <v>6</v>
      </c>
      <c r="O6" s="18"/>
      <c r="P6" t="s" s="8">
        <v>6</v>
      </c>
      <c r="Q6" s="18"/>
      <c r="R6" t="s" s="8">
        <v>6</v>
      </c>
      <c r="S6" s="18"/>
      <c r="T6" t="s" s="8">
        <v>6</v>
      </c>
      <c r="U6" s="18"/>
      <c r="V6" t="s" s="8">
        <v>6</v>
      </c>
      <c r="W6" s="18"/>
      <c r="X6" t="s" s="8">
        <v>6</v>
      </c>
      <c r="Y6" s="18"/>
      <c r="Z6" t="s" s="8">
        <v>6</v>
      </c>
      <c r="AA6" s="18"/>
      <c r="AB6" t="s" s="8">
        <v>6</v>
      </c>
      <c r="AC6" s="18"/>
      <c r="AD6" s="367"/>
      <c r="AE6" s="177"/>
      <c r="AF6" s="7"/>
    </row>
    <row r="7" ht="13.55" customHeight="1">
      <c r="A7" s="84"/>
      <c r="B7" t="s" s="8">
        <v>718</v>
      </c>
      <c r="C7" s="9"/>
      <c r="D7" s="34"/>
      <c r="E7" s="9"/>
      <c r="F7" t="s" s="8">
        <v>8</v>
      </c>
      <c r="G7" s="26">
        <v>600</v>
      </c>
      <c r="H7" t="s" s="8">
        <v>8</v>
      </c>
      <c r="I7" s="26">
        <v>600</v>
      </c>
      <c r="J7" t="s" s="8">
        <v>8</v>
      </c>
      <c r="K7" s="27"/>
      <c r="L7" t="s" s="8">
        <v>8</v>
      </c>
      <c r="M7" s="27"/>
      <c r="N7" t="s" s="8">
        <v>8</v>
      </c>
      <c r="O7" s="27"/>
      <c r="P7" t="s" s="8">
        <v>8</v>
      </c>
      <c r="Q7" s="27"/>
      <c r="R7" t="s" s="8">
        <v>8</v>
      </c>
      <c r="S7" s="27"/>
      <c r="T7" t="s" s="8">
        <v>8</v>
      </c>
      <c r="U7" s="27"/>
      <c r="V7" t="s" s="8">
        <v>8</v>
      </c>
      <c r="W7" s="27"/>
      <c r="X7" t="s" s="8">
        <v>8</v>
      </c>
      <c r="Y7" s="27"/>
      <c r="Z7" t="s" s="8">
        <v>8</v>
      </c>
      <c r="AA7" s="27"/>
      <c r="AB7" t="s" s="8">
        <v>8</v>
      </c>
      <c r="AC7" s="27"/>
      <c r="AD7" s="368" cm="1">
        <f t="array" ref="AD7">G7+I7+K7+M7+O7+Q7+S7+U7+W7+Y7+AA7+AC7</f>
        <v>1200</v>
      </c>
      <c r="AE7" s="183" cm="1">
        <f t="array" ref="AE7">500*11</f>
        <v>5500</v>
      </c>
      <c r="AF7" s="51" cm="1">
        <f t="array" ref="AF7">AE7-AD7</f>
        <v>4300</v>
      </c>
    </row>
    <row r="8" ht="13.55" customHeight="1">
      <c r="A8" s="84"/>
      <c r="B8" s="9"/>
      <c r="C8" s="9"/>
      <c r="D8" s="9"/>
      <c r="E8" s="9"/>
      <c r="F8" t="s" s="8">
        <v>10</v>
      </c>
      <c r="G8" t="s" s="33">
        <v>17</v>
      </c>
      <c r="H8" t="s" s="8">
        <v>10</v>
      </c>
      <c r="I8" t="s" s="33">
        <v>142</v>
      </c>
      <c r="J8" t="s" s="8">
        <v>10</v>
      </c>
      <c r="K8" s="34"/>
      <c r="L8" t="s" s="8">
        <v>10</v>
      </c>
      <c r="M8" s="34"/>
      <c r="N8" t="s" s="8">
        <v>10</v>
      </c>
      <c r="O8" s="34"/>
      <c r="P8" t="s" s="8">
        <v>10</v>
      </c>
      <c r="Q8" s="34"/>
      <c r="R8" t="s" s="8">
        <v>10</v>
      </c>
      <c r="S8" s="34"/>
      <c r="T8" t="s" s="8">
        <v>10</v>
      </c>
      <c r="U8" s="34"/>
      <c r="V8" t="s" s="8">
        <v>10</v>
      </c>
      <c r="W8" s="34"/>
      <c r="X8" t="s" s="8">
        <v>10</v>
      </c>
      <c r="Y8" s="34"/>
      <c r="Z8" t="s" s="8">
        <v>10</v>
      </c>
      <c r="AA8" s="34"/>
      <c r="AB8" t="s" s="8">
        <v>10</v>
      </c>
      <c r="AC8" s="34"/>
      <c r="AD8" s="367"/>
      <c r="AE8" s="177"/>
      <c r="AF8" s="7"/>
    </row>
    <row r="9" ht="13.55" customHeight="1">
      <c r="A9" s="369"/>
      <c r="B9" s="9"/>
      <c r="C9" s="9"/>
      <c r="D9" s="9"/>
      <c r="E9" s="9"/>
      <c r="F9" s="9"/>
      <c r="G9" s="27"/>
      <c r="H9" s="9"/>
      <c r="I9" s="9"/>
      <c r="J9" s="9"/>
      <c r="K9" s="131"/>
      <c r="L9" s="9"/>
      <c r="M9" s="34"/>
      <c r="N9" s="9"/>
      <c r="O9" s="34"/>
      <c r="P9" s="9"/>
      <c r="Q9" s="3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367"/>
      <c r="AE9" s="177"/>
      <c r="AF9" s="7"/>
    </row>
    <row r="10" ht="13.75" customHeight="1">
      <c r="A10" s="83">
        <v>2</v>
      </c>
      <c r="B10" t="s" s="130">
        <v>719</v>
      </c>
      <c r="C10" s="9"/>
      <c r="D10" s="9"/>
      <c r="E10" t="s" s="8">
        <v>5</v>
      </c>
      <c r="F10" t="s" s="8">
        <v>6</v>
      </c>
      <c r="G10" s="16">
        <v>1201</v>
      </c>
      <c r="H10" t="s" s="8">
        <v>6</v>
      </c>
      <c r="I10" s="18"/>
      <c r="J10" t="s" s="8">
        <v>6</v>
      </c>
      <c r="K10" s="18"/>
      <c r="L10" t="s" s="8">
        <v>6</v>
      </c>
      <c r="M10" s="18"/>
      <c r="N10" t="s" s="8">
        <v>6</v>
      </c>
      <c r="O10" s="18"/>
      <c r="P10" t="s" s="8">
        <v>6</v>
      </c>
      <c r="Q10" s="18"/>
      <c r="R10" t="s" s="8">
        <v>6</v>
      </c>
      <c r="S10" s="18"/>
      <c r="T10" t="s" s="8">
        <v>6</v>
      </c>
      <c r="U10" s="18"/>
      <c r="V10" t="s" s="8">
        <v>6</v>
      </c>
      <c r="W10" s="18"/>
      <c r="X10" t="s" s="8">
        <v>6</v>
      </c>
      <c r="Y10" s="18"/>
      <c r="Z10" t="s" s="8">
        <v>6</v>
      </c>
      <c r="AA10" s="18"/>
      <c r="AB10" t="s" s="8">
        <v>6</v>
      </c>
      <c r="AC10" s="18"/>
      <c r="AD10" s="367"/>
      <c r="AE10" s="177"/>
      <c r="AF10" s="7"/>
    </row>
    <row r="11" ht="13.55" customHeight="1">
      <c r="A11" s="84"/>
      <c r="B11" s="38"/>
      <c r="C11" s="370"/>
      <c r="D11" s="27"/>
      <c r="E11" s="9"/>
      <c r="F11" t="s" s="8">
        <v>8</v>
      </c>
      <c r="G11" s="26">
        <v>800</v>
      </c>
      <c r="H11" t="s" s="8">
        <v>8</v>
      </c>
      <c r="I11" s="27"/>
      <c r="J11" t="s" s="8">
        <v>8</v>
      </c>
      <c r="K11" s="27"/>
      <c r="L11" t="s" s="8">
        <v>8</v>
      </c>
      <c r="M11" s="27"/>
      <c r="N11" t="s" s="8">
        <v>8</v>
      </c>
      <c r="O11" s="27"/>
      <c r="P11" t="s" s="8">
        <v>8</v>
      </c>
      <c r="Q11" s="27"/>
      <c r="R11" t="s" s="8">
        <v>8</v>
      </c>
      <c r="S11" s="27"/>
      <c r="T11" t="s" s="8">
        <v>8</v>
      </c>
      <c r="U11" s="27"/>
      <c r="V11" t="s" s="8">
        <v>8</v>
      </c>
      <c r="W11" s="27"/>
      <c r="X11" t="s" s="8">
        <v>8</v>
      </c>
      <c r="Y11" s="27"/>
      <c r="Z11" t="s" s="8">
        <v>8</v>
      </c>
      <c r="AA11" s="27"/>
      <c r="AB11" t="s" s="8">
        <v>8</v>
      </c>
      <c r="AC11" s="27"/>
      <c r="AD11" s="368" cm="1">
        <f t="array" ref="AD11">G11+I11+K11+M11+O11+Q11+S11+U11+W11+Y11+AA11+AC11</f>
        <v>800</v>
      </c>
      <c r="AE11" s="183" cm="1">
        <f t="array" ref="AE11">750*12</f>
        <v>9000</v>
      </c>
      <c r="AF11" s="51" cm="1">
        <f t="array" ref="AF11">AE11-AD11</f>
        <v>8200</v>
      </c>
    </row>
    <row r="12" ht="13.55" customHeight="1">
      <c r="A12" s="84"/>
      <c r="B12" t="s" s="144">
        <v>60</v>
      </c>
      <c r="C12" t="s" s="8">
        <v>9</v>
      </c>
      <c r="D12" s="26">
        <v>1000</v>
      </c>
      <c r="E12" s="9"/>
      <c r="F12" t="s" s="8">
        <v>10</v>
      </c>
      <c r="G12" t="s" s="33">
        <v>74</v>
      </c>
      <c r="H12" t="s" s="8">
        <v>10</v>
      </c>
      <c r="I12" s="34"/>
      <c r="J12" t="s" s="8">
        <v>10</v>
      </c>
      <c r="K12" s="34"/>
      <c r="L12" t="s" s="8">
        <v>10</v>
      </c>
      <c r="M12" s="34"/>
      <c r="N12" t="s" s="8">
        <v>10</v>
      </c>
      <c r="O12" s="34"/>
      <c r="P12" t="s" s="8">
        <v>10</v>
      </c>
      <c r="Q12" s="34"/>
      <c r="R12" t="s" s="8">
        <v>10</v>
      </c>
      <c r="S12" s="34"/>
      <c r="T12" t="s" s="8">
        <v>10</v>
      </c>
      <c r="U12" s="34"/>
      <c r="V12" t="s" s="8">
        <v>10</v>
      </c>
      <c r="W12" s="34"/>
      <c r="X12" t="s" s="8">
        <v>10</v>
      </c>
      <c r="Y12" s="34"/>
      <c r="Z12" t="s" s="8">
        <v>10</v>
      </c>
      <c r="AA12" s="34"/>
      <c r="AB12" t="s" s="8">
        <v>10</v>
      </c>
      <c r="AC12" s="34"/>
      <c r="AD12" s="367"/>
      <c r="AE12" s="177"/>
      <c r="AF12" s="7"/>
    </row>
    <row r="13" ht="13.75" customHeight="1">
      <c r="A13" s="84"/>
      <c r="B13" t="s" s="8">
        <v>720</v>
      </c>
      <c r="C13" s="9"/>
      <c r="D13" s="27"/>
      <c r="E13" t="s" s="8">
        <v>14</v>
      </c>
      <c r="F13" t="s" s="8">
        <v>6</v>
      </c>
      <c r="G13" s="16">
        <v>2109</v>
      </c>
      <c r="H13" t="s" s="8">
        <v>6</v>
      </c>
      <c r="I13" s="18"/>
      <c r="J13" t="s" s="8">
        <v>6</v>
      </c>
      <c r="K13" s="135"/>
      <c r="L13" t="s" s="8">
        <v>6</v>
      </c>
      <c r="M13" s="18"/>
      <c r="N13" t="s" s="8">
        <v>6</v>
      </c>
      <c r="O13" s="18"/>
      <c r="P13" t="s" s="8">
        <v>6</v>
      </c>
      <c r="Q13" s="18"/>
      <c r="R13" t="s" s="8">
        <v>6</v>
      </c>
      <c r="S13" s="18"/>
      <c r="T13" t="s" s="8">
        <v>6</v>
      </c>
      <c r="U13" s="18"/>
      <c r="V13" t="s" s="8">
        <v>6</v>
      </c>
      <c r="W13" s="18"/>
      <c r="X13" t="s" s="8">
        <v>6</v>
      </c>
      <c r="Y13" s="18"/>
      <c r="Z13" t="s" s="8">
        <v>6</v>
      </c>
      <c r="AA13" s="18"/>
      <c r="AB13" t="s" s="8">
        <v>6</v>
      </c>
      <c r="AC13" s="18"/>
      <c r="AD13" s="367"/>
      <c r="AE13" s="177"/>
      <c r="AF13" s="7"/>
    </row>
    <row r="14" ht="13.55" customHeight="1">
      <c r="A14" s="84"/>
      <c r="B14" t="s" s="8">
        <v>721</v>
      </c>
      <c r="C14" s="9"/>
      <c r="D14" s="9"/>
      <c r="E14" s="9"/>
      <c r="F14" t="s" s="8">
        <v>8</v>
      </c>
      <c r="G14" s="26">
        <v>700</v>
      </c>
      <c r="H14" t="s" s="8">
        <v>8</v>
      </c>
      <c r="I14" s="27"/>
      <c r="J14" t="s" s="8">
        <v>8</v>
      </c>
      <c r="K14" s="135"/>
      <c r="L14" t="s" s="8">
        <v>8</v>
      </c>
      <c r="M14" s="27"/>
      <c r="N14" t="s" s="8">
        <v>8</v>
      </c>
      <c r="O14" s="27"/>
      <c r="P14" t="s" s="8">
        <v>8</v>
      </c>
      <c r="Q14" s="27"/>
      <c r="R14" t="s" s="8">
        <v>8</v>
      </c>
      <c r="S14" s="27"/>
      <c r="T14" t="s" s="8">
        <v>8</v>
      </c>
      <c r="U14" s="27"/>
      <c r="V14" t="s" s="8">
        <v>8</v>
      </c>
      <c r="W14" s="27"/>
      <c r="X14" t="s" s="8">
        <v>8</v>
      </c>
      <c r="Y14" s="27"/>
      <c r="Z14" t="s" s="8">
        <v>8</v>
      </c>
      <c r="AA14" s="27"/>
      <c r="AB14" t="s" s="8">
        <v>8</v>
      </c>
      <c r="AC14" s="27"/>
      <c r="AD14" s="368" cm="1">
        <f t="array" ref="AD14">G14+I14+K14+M14+O14+Q14+S14+U14+W14+Y14+AA14+AC14</f>
        <v>700</v>
      </c>
      <c r="AE14" s="183" cm="1">
        <f t="array" ref="AE14">700*11</f>
        <v>7700</v>
      </c>
      <c r="AF14" s="51" cm="1">
        <f t="array" ref="AF14">AE14-AD14</f>
        <v>7000</v>
      </c>
    </row>
    <row r="15" ht="13.55" customHeight="1">
      <c r="A15" s="84"/>
      <c r="B15" s="9"/>
      <c r="C15" s="9"/>
      <c r="D15" s="9"/>
      <c r="E15" s="9"/>
      <c r="F15" t="s" s="8">
        <v>10</v>
      </c>
      <c r="G15" t="s" s="33">
        <v>74</v>
      </c>
      <c r="H15" t="s" s="8">
        <v>10</v>
      </c>
      <c r="I15" s="34"/>
      <c r="J15" t="s" s="8">
        <v>10</v>
      </c>
      <c r="K15" s="135"/>
      <c r="L15" t="s" s="8">
        <v>10</v>
      </c>
      <c r="M15" s="34"/>
      <c r="N15" t="s" s="8">
        <v>10</v>
      </c>
      <c r="O15" s="34"/>
      <c r="P15" t="s" s="8">
        <v>10</v>
      </c>
      <c r="Q15" s="34"/>
      <c r="R15" t="s" s="8">
        <v>10</v>
      </c>
      <c r="S15" s="34"/>
      <c r="T15" t="s" s="8">
        <v>10</v>
      </c>
      <c r="U15" s="34"/>
      <c r="V15" t="s" s="8">
        <v>10</v>
      </c>
      <c r="W15" s="34"/>
      <c r="X15" t="s" s="8">
        <v>10</v>
      </c>
      <c r="Y15" s="34"/>
      <c r="Z15" t="s" s="8">
        <v>10</v>
      </c>
      <c r="AA15" s="34"/>
      <c r="AB15" t="s" s="8">
        <v>10</v>
      </c>
      <c r="AC15" s="34"/>
      <c r="AD15" s="367"/>
      <c r="AE15" s="177"/>
      <c r="AF15" s="7"/>
    </row>
    <row r="16" ht="13.55" customHeight="1">
      <c r="A16" s="369"/>
      <c r="B16" s="9"/>
      <c r="C16" s="9"/>
      <c r="D16" s="9"/>
      <c r="E16" s="9"/>
      <c r="F16" s="9"/>
      <c r="G16" s="27"/>
      <c r="H16" s="9"/>
      <c r="I16" s="27"/>
      <c r="J16" s="9"/>
      <c r="K16" s="2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367"/>
      <c r="AE16" s="177"/>
      <c r="AF16" s="7"/>
    </row>
    <row r="17" ht="13.75" customHeight="1">
      <c r="A17" s="83">
        <v>3</v>
      </c>
      <c r="B17" t="s" s="130">
        <v>722</v>
      </c>
      <c r="C17" s="9"/>
      <c r="D17" s="9"/>
      <c r="E17" t="s" s="8">
        <v>5</v>
      </c>
      <c r="F17" t="s" s="8">
        <v>6</v>
      </c>
      <c r="G17" s="16">
        <v>1200</v>
      </c>
      <c r="H17" t="s" s="8">
        <v>6</v>
      </c>
      <c r="I17" s="18"/>
      <c r="J17" t="s" s="8">
        <v>6</v>
      </c>
      <c r="K17" s="18"/>
      <c r="L17" t="s" s="8">
        <v>6</v>
      </c>
      <c r="M17" s="18"/>
      <c r="N17" t="s" s="8">
        <v>6</v>
      </c>
      <c r="O17" s="18"/>
      <c r="P17" t="s" s="8">
        <v>6</v>
      </c>
      <c r="Q17" s="18"/>
      <c r="R17" t="s" s="8">
        <v>6</v>
      </c>
      <c r="S17" s="18"/>
      <c r="T17" t="s" s="8">
        <v>6</v>
      </c>
      <c r="U17" s="18"/>
      <c r="V17" t="s" s="8">
        <v>6</v>
      </c>
      <c r="W17" s="18"/>
      <c r="X17" t="s" s="8">
        <v>6</v>
      </c>
      <c r="Y17" s="18"/>
      <c r="Z17" t="s" s="8">
        <v>6</v>
      </c>
      <c r="AA17" s="18"/>
      <c r="AB17" t="s" s="8">
        <v>6</v>
      </c>
      <c r="AC17" s="18"/>
      <c r="AD17" s="367"/>
      <c r="AE17" s="177"/>
      <c r="AF17" s="7"/>
    </row>
    <row r="18" ht="13.55" customHeight="1">
      <c r="A18" s="84"/>
      <c r="B18" s="56"/>
      <c r="C18" s="27"/>
      <c r="D18" s="27"/>
      <c r="E18" s="9"/>
      <c r="F18" t="s" s="8">
        <v>8</v>
      </c>
      <c r="G18" s="26">
        <v>1600</v>
      </c>
      <c r="H18" t="s" s="8">
        <v>8</v>
      </c>
      <c r="I18" s="27"/>
      <c r="J18" t="s" s="8">
        <v>8</v>
      </c>
      <c r="K18" s="27"/>
      <c r="L18" t="s" s="8">
        <v>8</v>
      </c>
      <c r="M18" s="27"/>
      <c r="N18" t="s" s="8">
        <v>8</v>
      </c>
      <c r="O18" s="27"/>
      <c r="P18" t="s" s="8">
        <v>8</v>
      </c>
      <c r="Q18" s="27"/>
      <c r="R18" t="s" s="8">
        <v>8</v>
      </c>
      <c r="S18" s="27"/>
      <c r="T18" t="s" s="8">
        <v>8</v>
      </c>
      <c r="U18" s="27"/>
      <c r="V18" t="s" s="8">
        <v>8</v>
      </c>
      <c r="W18" s="27"/>
      <c r="X18" t="s" s="8">
        <v>8</v>
      </c>
      <c r="Y18" s="27"/>
      <c r="Z18" t="s" s="8">
        <v>8</v>
      </c>
      <c r="AA18" s="27"/>
      <c r="AB18" t="s" s="8">
        <v>8</v>
      </c>
      <c r="AC18" s="27"/>
      <c r="AD18" s="368" cm="1">
        <f t="array" ref="AD18">G18+I18+K18+M18+O18+Q18+S18+U18+W18+Y18+AA18+AC18</f>
        <v>1600</v>
      </c>
      <c r="AE18" s="183" cm="1">
        <f t="array" ref="AE18">1500*12</f>
        <v>18000</v>
      </c>
      <c r="AF18" s="51" cm="1">
        <f t="array" ref="AF18">AE18-AD18</f>
        <v>16400</v>
      </c>
    </row>
    <row r="19" ht="13.55" customHeight="1">
      <c r="A19" s="84"/>
      <c r="B19" s="27"/>
      <c r="C19" t="s" s="8">
        <v>9</v>
      </c>
      <c r="D19" s="26">
        <v>1000</v>
      </c>
      <c r="E19" s="9"/>
      <c r="F19" t="s" s="8">
        <v>10</v>
      </c>
      <c r="G19" t="s" s="15">
        <v>74</v>
      </c>
      <c r="H19" t="s" s="8">
        <v>10</v>
      </c>
      <c r="I19" s="34"/>
      <c r="J19" t="s" s="8">
        <v>10</v>
      </c>
      <c r="K19" s="34"/>
      <c r="L19" t="s" s="8">
        <v>10</v>
      </c>
      <c r="M19" s="34"/>
      <c r="N19" t="s" s="8">
        <v>10</v>
      </c>
      <c r="O19" s="34"/>
      <c r="P19" t="s" s="8">
        <v>10</v>
      </c>
      <c r="Q19" s="34"/>
      <c r="R19" t="s" s="8">
        <v>10</v>
      </c>
      <c r="S19" s="34"/>
      <c r="T19" t="s" s="8">
        <v>10</v>
      </c>
      <c r="U19" s="34"/>
      <c r="V19" t="s" s="8">
        <v>10</v>
      </c>
      <c r="W19" s="34"/>
      <c r="X19" t="s" s="8">
        <v>10</v>
      </c>
      <c r="Y19" s="34"/>
      <c r="Z19" t="s" s="8">
        <v>10</v>
      </c>
      <c r="AA19" s="34"/>
      <c r="AB19" t="s" s="8">
        <v>10</v>
      </c>
      <c r="AC19" s="34"/>
      <c r="AD19" s="367"/>
      <c r="AE19" s="177"/>
      <c r="AF19" s="7"/>
    </row>
    <row r="20" ht="13.75" customHeight="1">
      <c r="A20" s="84"/>
      <c r="B20" t="s" s="8">
        <v>723</v>
      </c>
      <c r="C20" s="9"/>
      <c r="D20" s="27"/>
      <c r="E20" t="s" s="8">
        <v>14</v>
      </c>
      <c r="F20" t="s" s="8">
        <v>6</v>
      </c>
      <c r="G20" s="16">
        <v>2110</v>
      </c>
      <c r="H20" t="s" s="8">
        <v>6</v>
      </c>
      <c r="I20" s="18"/>
      <c r="J20" t="s" s="8">
        <v>6</v>
      </c>
      <c r="K20" s="135"/>
      <c r="L20" t="s" s="8">
        <v>6</v>
      </c>
      <c r="M20" s="18"/>
      <c r="N20" t="s" s="8">
        <v>6</v>
      </c>
      <c r="O20" s="18"/>
      <c r="P20" t="s" s="8">
        <v>6</v>
      </c>
      <c r="Q20" s="18"/>
      <c r="R20" t="s" s="8">
        <v>6</v>
      </c>
      <c r="S20" s="18"/>
      <c r="T20" t="s" s="8">
        <v>6</v>
      </c>
      <c r="U20" s="18"/>
      <c r="V20" t="s" s="8">
        <v>6</v>
      </c>
      <c r="W20" s="18"/>
      <c r="X20" t="s" s="8">
        <v>6</v>
      </c>
      <c r="Y20" s="18"/>
      <c r="Z20" t="s" s="8">
        <v>6</v>
      </c>
      <c r="AA20" s="18"/>
      <c r="AB20" t="s" s="8">
        <v>6</v>
      </c>
      <c r="AC20" s="18"/>
      <c r="AD20" s="367"/>
      <c r="AE20" s="177"/>
      <c r="AF20" s="7"/>
    </row>
    <row r="21" ht="13.55" customHeight="1">
      <c r="A21" s="84"/>
      <c r="B21" t="s" s="8">
        <v>721</v>
      </c>
      <c r="C21" s="9"/>
      <c r="D21" s="9"/>
      <c r="E21" s="9"/>
      <c r="F21" t="s" s="8">
        <v>8</v>
      </c>
      <c r="G21" s="26">
        <v>700</v>
      </c>
      <c r="H21" t="s" s="8">
        <v>8</v>
      </c>
      <c r="I21" s="27"/>
      <c r="J21" t="s" s="8">
        <v>8</v>
      </c>
      <c r="K21" s="135"/>
      <c r="L21" t="s" s="8">
        <v>8</v>
      </c>
      <c r="M21" s="27"/>
      <c r="N21" t="s" s="8">
        <v>8</v>
      </c>
      <c r="O21" s="27"/>
      <c r="P21" t="s" s="8">
        <v>8</v>
      </c>
      <c r="Q21" s="27"/>
      <c r="R21" t="s" s="8">
        <v>8</v>
      </c>
      <c r="S21" s="27"/>
      <c r="T21" t="s" s="8">
        <v>8</v>
      </c>
      <c r="U21" s="27"/>
      <c r="V21" t="s" s="8">
        <v>8</v>
      </c>
      <c r="W21" s="27"/>
      <c r="X21" t="s" s="8">
        <v>8</v>
      </c>
      <c r="Y21" s="27"/>
      <c r="Z21" t="s" s="8">
        <v>8</v>
      </c>
      <c r="AA21" s="27"/>
      <c r="AB21" t="s" s="8">
        <v>8</v>
      </c>
      <c r="AC21" s="27"/>
      <c r="AD21" s="367" cm="1">
        <f t="array" ref="AD21">G22+I21+K21+M21+O21+Q21+S21+U21+W21+Y21+AA21+AC21</f>
      </c>
      <c r="AE21" s="183" cm="1">
        <f t="array" ref="AE21">700*11</f>
        <v>7700</v>
      </c>
      <c r="AF21" s="7" cm="1">
        <f t="array" ref="AF21">AE21-AD21</f>
      </c>
    </row>
    <row r="22" ht="13.55" customHeight="1">
      <c r="A22" s="84"/>
      <c r="B22" s="9"/>
      <c r="C22" s="9"/>
      <c r="D22" s="9"/>
      <c r="E22" s="9"/>
      <c r="F22" t="s" s="8">
        <v>10</v>
      </c>
      <c r="G22" t="s" s="33">
        <v>74</v>
      </c>
      <c r="H22" t="s" s="8">
        <v>10</v>
      </c>
      <c r="I22" s="34"/>
      <c r="J22" t="s" s="8">
        <v>10</v>
      </c>
      <c r="K22" s="135"/>
      <c r="L22" t="s" s="8">
        <v>10</v>
      </c>
      <c r="M22" s="34"/>
      <c r="N22" t="s" s="8">
        <v>10</v>
      </c>
      <c r="O22" s="34"/>
      <c r="P22" t="s" s="8">
        <v>10</v>
      </c>
      <c r="Q22" s="34"/>
      <c r="R22" t="s" s="8">
        <v>10</v>
      </c>
      <c r="S22" s="34"/>
      <c r="T22" t="s" s="8">
        <v>10</v>
      </c>
      <c r="U22" s="34"/>
      <c r="V22" t="s" s="8">
        <v>10</v>
      </c>
      <c r="W22" s="34"/>
      <c r="X22" t="s" s="8">
        <v>10</v>
      </c>
      <c r="Y22" s="34"/>
      <c r="Z22" t="s" s="8">
        <v>10</v>
      </c>
      <c r="AA22" s="34"/>
      <c r="AB22" t="s" s="8">
        <v>10</v>
      </c>
      <c r="AC22" s="34"/>
      <c r="AD22" s="367"/>
      <c r="AE22" s="177"/>
      <c r="AF22" s="7"/>
    </row>
    <row r="23" ht="13.55" customHeight="1">
      <c r="A23" s="369"/>
      <c r="B23" s="9"/>
      <c r="C23" s="9"/>
      <c r="D23" s="9"/>
      <c r="E23" s="9"/>
      <c r="F23" s="9"/>
      <c r="G23" s="27"/>
      <c r="H23" s="9"/>
      <c r="I23" s="27"/>
      <c r="J23" s="9"/>
      <c r="K23" s="2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367"/>
      <c r="AE23" s="177"/>
      <c r="AF23" s="7"/>
    </row>
    <row r="24" ht="13.75" customHeight="1">
      <c r="A24" s="83">
        <v>4</v>
      </c>
      <c r="B24" t="s" s="130">
        <v>724</v>
      </c>
      <c r="C24" s="9"/>
      <c r="D24" s="9"/>
      <c r="E24" t="s" s="8">
        <v>5</v>
      </c>
      <c r="F24" t="s" s="8">
        <v>6</v>
      </c>
      <c r="G24" s="16">
        <v>1149</v>
      </c>
      <c r="H24" t="s" s="8">
        <v>6</v>
      </c>
      <c r="I24" s="16">
        <v>1149</v>
      </c>
      <c r="J24" t="s" s="8">
        <v>6</v>
      </c>
      <c r="K24" s="16">
        <v>1149</v>
      </c>
      <c r="L24" t="s" s="8">
        <v>6</v>
      </c>
      <c r="M24" s="9"/>
      <c r="N24" t="s" s="8">
        <v>6</v>
      </c>
      <c r="O24" s="18"/>
      <c r="P24" t="s" s="8">
        <v>6</v>
      </c>
      <c r="Q24" s="18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367"/>
      <c r="AE24" s="177"/>
      <c r="AF24" s="7"/>
    </row>
    <row r="25" ht="13.55" customHeight="1">
      <c r="A25" s="84"/>
      <c r="B25" s="56"/>
      <c r="C25" s="27"/>
      <c r="D25" s="27"/>
      <c r="E25" s="9"/>
      <c r="F25" t="s" s="8">
        <v>8</v>
      </c>
      <c r="G25" s="26">
        <v>1600</v>
      </c>
      <c r="H25" t="s" s="8">
        <v>8</v>
      </c>
      <c r="I25" s="26">
        <v>1600</v>
      </c>
      <c r="J25" t="s" s="8">
        <v>8</v>
      </c>
      <c r="K25" s="26" cm="1">
        <f t="array" ref="K25">1300+300</f>
        <v>1600</v>
      </c>
      <c r="L25" t="s" s="8">
        <v>8</v>
      </c>
      <c r="M25" s="9"/>
      <c r="N25" t="s" s="8">
        <v>8</v>
      </c>
      <c r="O25" s="27"/>
      <c r="P25" t="s" s="8">
        <v>8</v>
      </c>
      <c r="Q25" s="27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367"/>
      <c r="AE25" s="177"/>
      <c r="AF25" s="7"/>
    </row>
    <row r="26" ht="13.55" customHeight="1">
      <c r="A26" s="84"/>
      <c r="B26" s="27"/>
      <c r="C26" t="s" s="8">
        <v>9</v>
      </c>
      <c r="D26" s="26">
        <v>1000</v>
      </c>
      <c r="E26" t="s" s="33">
        <v>338</v>
      </c>
      <c r="F26" t="s" s="8">
        <v>10</v>
      </c>
      <c r="G26" t="s" s="33">
        <v>81</v>
      </c>
      <c r="H26" t="s" s="8">
        <v>10</v>
      </c>
      <c r="I26" t="s" s="33">
        <v>81</v>
      </c>
      <c r="J26" t="s" s="8">
        <v>10</v>
      </c>
      <c r="K26" t="s" s="33">
        <v>81</v>
      </c>
      <c r="L26" t="s" s="8">
        <v>10</v>
      </c>
      <c r="M26" s="9"/>
      <c r="N26" t="s" s="8">
        <v>10</v>
      </c>
      <c r="O26" s="34"/>
      <c r="P26" t="s" s="8">
        <v>10</v>
      </c>
      <c r="Q26" s="34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367"/>
      <c r="AE26" s="177"/>
      <c r="AF26" s="7"/>
    </row>
    <row r="27" ht="13.75" customHeight="1">
      <c r="A27" s="84"/>
      <c r="B27" t="s" s="8">
        <v>725</v>
      </c>
      <c r="C27" t="s" s="8">
        <v>701</v>
      </c>
      <c r="D27" s="26">
        <v>1000</v>
      </c>
      <c r="E27" t="s" s="8">
        <v>14</v>
      </c>
      <c r="F27" t="s" s="8">
        <v>6</v>
      </c>
      <c r="G27" s="16">
        <v>2068</v>
      </c>
      <c r="H27" t="s" s="8">
        <v>6</v>
      </c>
      <c r="I27" s="16">
        <v>2068</v>
      </c>
      <c r="J27" t="s" s="8">
        <v>6</v>
      </c>
      <c r="K27" s="40"/>
      <c r="L27" t="s" s="8">
        <v>6</v>
      </c>
      <c r="M27" s="9"/>
      <c r="N27" t="s" s="8">
        <v>6</v>
      </c>
      <c r="O27" s="18"/>
      <c r="P27" t="s" s="8">
        <v>6</v>
      </c>
      <c r="Q27" s="18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367"/>
      <c r="AE27" s="177"/>
      <c r="AF27" s="7"/>
    </row>
    <row r="28" ht="13.55" customHeight="1">
      <c r="A28" s="84"/>
      <c r="B28" t="s" s="8">
        <v>726</v>
      </c>
      <c r="C28" s="9"/>
      <c r="D28" s="9"/>
      <c r="E28" s="9"/>
      <c r="F28" t="s" s="8">
        <v>8</v>
      </c>
      <c r="G28" s="26">
        <v>600</v>
      </c>
      <c r="H28" t="s" s="8">
        <v>8</v>
      </c>
      <c r="I28" s="26">
        <v>600</v>
      </c>
      <c r="J28" t="s" s="8">
        <v>8</v>
      </c>
      <c r="K28" s="41"/>
      <c r="L28" t="s" s="8">
        <v>8</v>
      </c>
      <c r="M28" s="9"/>
      <c r="N28" t="s" s="8">
        <v>8</v>
      </c>
      <c r="O28" s="27"/>
      <c r="P28" t="s" s="8">
        <v>8</v>
      </c>
      <c r="Q28" s="27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367"/>
      <c r="AE28" s="177"/>
      <c r="AF28" s="7"/>
    </row>
    <row r="29" ht="13.55" customHeight="1">
      <c r="A29" s="84"/>
      <c r="B29" s="9"/>
      <c r="C29" s="9"/>
      <c r="D29" s="9"/>
      <c r="E29" s="9"/>
      <c r="F29" t="s" s="8">
        <v>10</v>
      </c>
      <c r="G29" t="s" s="33">
        <v>81</v>
      </c>
      <c r="H29" t="s" s="8">
        <v>10</v>
      </c>
      <c r="I29" t="s" s="33">
        <v>81</v>
      </c>
      <c r="J29" t="s" s="8">
        <v>10</v>
      </c>
      <c r="K29" s="45"/>
      <c r="L29" t="s" s="8">
        <v>10</v>
      </c>
      <c r="M29" s="9"/>
      <c r="N29" t="s" s="8">
        <v>10</v>
      </c>
      <c r="O29" s="34"/>
      <c r="P29" t="s" s="8">
        <v>10</v>
      </c>
      <c r="Q29" s="34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367"/>
      <c r="AE29" s="177"/>
      <c r="AF29" s="7"/>
    </row>
    <row r="30" ht="13.55" customHeight="1">
      <c r="A30" s="369"/>
      <c r="B30" s="9"/>
      <c r="C30" s="9"/>
      <c r="D30" s="9"/>
      <c r="E30" s="9"/>
      <c r="F30" s="9"/>
      <c r="G30" s="27"/>
      <c r="H30" s="9"/>
      <c r="I30" s="27"/>
      <c r="J30" s="9"/>
      <c r="K30" s="2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367"/>
      <c r="AE30" s="177"/>
      <c r="AF30" s="7"/>
    </row>
    <row r="31" ht="13.75" customHeight="1">
      <c r="A31" s="83">
        <v>5</v>
      </c>
      <c r="B31" t="s" s="130">
        <v>727</v>
      </c>
      <c r="C31" s="9"/>
      <c r="D31" s="9"/>
      <c r="E31" t="s" s="8">
        <v>5</v>
      </c>
      <c r="F31" t="s" s="8">
        <v>6</v>
      </c>
      <c r="G31" s="16">
        <v>1175</v>
      </c>
      <c r="H31" t="s" s="8">
        <v>6</v>
      </c>
      <c r="I31" s="16">
        <v>1175</v>
      </c>
      <c r="J31" t="s" s="8">
        <v>6</v>
      </c>
      <c r="K31" s="16">
        <v>1175</v>
      </c>
      <c r="L31" t="s" s="8">
        <v>6</v>
      </c>
      <c r="M31" s="18"/>
      <c r="N31" t="s" s="8">
        <v>6</v>
      </c>
      <c r="O31" s="18"/>
      <c r="P31" t="s" s="8">
        <v>6</v>
      </c>
      <c r="Q31" s="18"/>
      <c r="R31" t="s" s="8">
        <v>6</v>
      </c>
      <c r="S31" s="18"/>
      <c r="T31" t="s" s="8">
        <v>6</v>
      </c>
      <c r="U31" s="18"/>
      <c r="V31" t="s" s="8">
        <v>6</v>
      </c>
      <c r="W31" s="18"/>
      <c r="X31" t="s" s="8">
        <v>6</v>
      </c>
      <c r="Y31" s="18"/>
      <c r="Z31" t="s" s="8">
        <v>6</v>
      </c>
      <c r="AA31" s="18"/>
      <c r="AB31" t="s" s="8">
        <v>6</v>
      </c>
      <c r="AC31" s="18"/>
      <c r="AD31" s="367"/>
      <c r="AE31" s="177"/>
      <c r="AF31" s="7"/>
    </row>
    <row r="32" ht="13.55" customHeight="1">
      <c r="A32" s="84"/>
      <c r="B32" s="27"/>
      <c r="C32" s="27"/>
      <c r="D32" s="27"/>
      <c r="E32" s="9"/>
      <c r="F32" t="s" s="8">
        <v>8</v>
      </c>
      <c r="G32" s="26">
        <v>1600</v>
      </c>
      <c r="H32" t="s" s="8">
        <v>8</v>
      </c>
      <c r="I32" s="26">
        <v>1600</v>
      </c>
      <c r="J32" t="s" s="8">
        <v>8</v>
      </c>
      <c r="K32" s="26">
        <v>1600</v>
      </c>
      <c r="L32" t="s" s="8">
        <v>8</v>
      </c>
      <c r="M32" s="27"/>
      <c r="N32" t="s" s="8">
        <v>8</v>
      </c>
      <c r="O32" s="27"/>
      <c r="P32" t="s" s="8">
        <v>8</v>
      </c>
      <c r="Q32" s="27"/>
      <c r="R32" t="s" s="8">
        <v>8</v>
      </c>
      <c r="S32" s="27"/>
      <c r="T32" t="s" s="8">
        <v>8</v>
      </c>
      <c r="U32" s="27"/>
      <c r="V32" t="s" s="8">
        <v>8</v>
      </c>
      <c r="W32" s="27"/>
      <c r="X32" t="s" s="8">
        <v>8</v>
      </c>
      <c r="Y32" s="27"/>
      <c r="Z32" t="s" s="8">
        <v>8</v>
      </c>
      <c r="AA32" s="27"/>
      <c r="AB32" t="s" s="8">
        <v>8</v>
      </c>
      <c r="AC32" s="27"/>
      <c r="AD32" s="368" cm="1">
        <f t="array" ref="AD32">G32+I32+K32+M32+O32+Q32+S32+U32+W32+Y32+AA32+AC32</f>
        <v>4800</v>
      </c>
      <c r="AE32" s="183" cm="1">
        <f t="array" ref="AE32">1500*12</f>
        <v>18000</v>
      </c>
      <c r="AF32" s="51" cm="1">
        <f t="array" ref="AF32">AE32-AD32</f>
        <v>13200</v>
      </c>
    </row>
    <row r="33" ht="13.55" customHeight="1">
      <c r="A33" s="84"/>
      <c r="B33" s="27"/>
      <c r="C33" t="s" s="8">
        <v>9</v>
      </c>
      <c r="D33" s="26">
        <v>1000</v>
      </c>
      <c r="E33" s="9"/>
      <c r="F33" t="s" s="8">
        <v>10</v>
      </c>
      <c r="G33" t="s" s="33">
        <v>39</v>
      </c>
      <c r="H33" t="s" s="8">
        <v>10</v>
      </c>
      <c r="I33" t="s" s="33">
        <v>39</v>
      </c>
      <c r="J33" t="s" s="8">
        <v>10</v>
      </c>
      <c r="K33" t="s" s="33">
        <v>39</v>
      </c>
      <c r="L33" t="s" s="8">
        <v>10</v>
      </c>
      <c r="M33" s="34"/>
      <c r="N33" t="s" s="8">
        <v>10</v>
      </c>
      <c r="O33" s="34"/>
      <c r="P33" t="s" s="8">
        <v>10</v>
      </c>
      <c r="Q33" s="34"/>
      <c r="R33" t="s" s="8">
        <v>10</v>
      </c>
      <c r="S33" s="34"/>
      <c r="T33" t="s" s="8">
        <v>10</v>
      </c>
      <c r="U33" s="34"/>
      <c r="V33" t="s" s="8">
        <v>10</v>
      </c>
      <c r="W33" s="34"/>
      <c r="X33" t="s" s="8">
        <v>10</v>
      </c>
      <c r="Y33" s="34"/>
      <c r="Z33" t="s" s="8">
        <v>10</v>
      </c>
      <c r="AA33" s="34"/>
      <c r="AB33" t="s" s="8">
        <v>10</v>
      </c>
      <c r="AC33" s="34"/>
      <c r="AD33" s="367"/>
      <c r="AE33" s="177"/>
      <c r="AF33" s="7"/>
    </row>
    <row r="34" ht="13.75" customHeight="1">
      <c r="A34" s="84"/>
      <c r="B34" t="s" s="8">
        <v>728</v>
      </c>
      <c r="C34" s="9"/>
      <c r="D34" s="27"/>
      <c r="E34" t="s" s="8">
        <v>14</v>
      </c>
      <c r="F34" t="s" s="8">
        <v>6</v>
      </c>
      <c r="G34" s="16">
        <v>2088</v>
      </c>
      <c r="H34" t="s" s="8">
        <v>6</v>
      </c>
      <c r="I34" s="16">
        <v>2088</v>
      </c>
      <c r="J34" t="s" s="8">
        <v>6</v>
      </c>
      <c r="K34" s="135"/>
      <c r="L34" t="s" s="8">
        <v>6</v>
      </c>
      <c r="M34" s="18"/>
      <c r="N34" t="s" s="8">
        <v>6</v>
      </c>
      <c r="O34" s="18"/>
      <c r="P34" t="s" s="8">
        <v>6</v>
      </c>
      <c r="Q34" s="18"/>
      <c r="R34" t="s" s="8">
        <v>6</v>
      </c>
      <c r="S34" s="18"/>
      <c r="T34" t="s" s="8">
        <v>6</v>
      </c>
      <c r="U34" s="18"/>
      <c r="V34" t="s" s="8">
        <v>6</v>
      </c>
      <c r="W34" s="18"/>
      <c r="X34" t="s" s="8">
        <v>6</v>
      </c>
      <c r="Y34" s="18"/>
      <c r="Z34" t="s" s="8">
        <v>6</v>
      </c>
      <c r="AA34" s="18"/>
      <c r="AB34" t="s" s="8">
        <v>6</v>
      </c>
      <c r="AC34" s="18"/>
      <c r="AD34" s="367"/>
      <c r="AE34" s="177"/>
      <c r="AF34" s="7"/>
    </row>
    <row r="35" ht="13.55" customHeight="1">
      <c r="A35" s="84"/>
      <c r="B35" t="s" s="8">
        <v>729</v>
      </c>
      <c r="C35" s="9"/>
      <c r="D35" s="9"/>
      <c r="E35" s="9"/>
      <c r="F35" t="s" s="8">
        <v>8</v>
      </c>
      <c r="G35" s="26">
        <v>600</v>
      </c>
      <c r="H35" t="s" s="8">
        <v>8</v>
      </c>
      <c r="I35" s="26">
        <v>600</v>
      </c>
      <c r="J35" t="s" s="8">
        <v>8</v>
      </c>
      <c r="K35" s="135"/>
      <c r="L35" t="s" s="8">
        <v>8</v>
      </c>
      <c r="M35" s="27"/>
      <c r="N35" t="s" s="8">
        <v>8</v>
      </c>
      <c r="O35" s="27"/>
      <c r="P35" t="s" s="8">
        <v>8</v>
      </c>
      <c r="Q35" s="27"/>
      <c r="R35" t="s" s="8">
        <v>8</v>
      </c>
      <c r="S35" s="27"/>
      <c r="T35" t="s" s="8">
        <v>8</v>
      </c>
      <c r="U35" s="27"/>
      <c r="V35" t="s" s="8">
        <v>8</v>
      </c>
      <c r="W35" s="27"/>
      <c r="X35" t="s" s="8">
        <v>8</v>
      </c>
      <c r="Y35" s="27"/>
      <c r="Z35" t="s" s="8">
        <v>8</v>
      </c>
      <c r="AA35" s="27"/>
      <c r="AB35" t="s" s="8">
        <v>8</v>
      </c>
      <c r="AC35" s="27"/>
      <c r="AD35" s="368" cm="1">
        <f t="array" ref="AD35">G35+I35+K35+M35+O35+Q35+S35+U35+W35+Y35+AA35+AC35</f>
        <v>1200</v>
      </c>
      <c r="AE35" s="183" cm="1">
        <f t="array" ref="AE35">500*11</f>
        <v>5500</v>
      </c>
      <c r="AF35" s="51" cm="1">
        <f t="array" ref="AF35">AE35-AD35</f>
        <v>4300</v>
      </c>
    </row>
    <row r="36" ht="13.55" customHeight="1">
      <c r="A36" s="85"/>
      <c r="B36" s="9"/>
      <c r="C36" s="9"/>
      <c r="D36" s="9"/>
      <c r="E36" s="9"/>
      <c r="F36" t="s" s="8">
        <v>10</v>
      </c>
      <c r="G36" t="s" s="33">
        <v>39</v>
      </c>
      <c r="H36" t="s" s="8">
        <v>10</v>
      </c>
      <c r="I36" t="s" s="33">
        <v>39</v>
      </c>
      <c r="J36" t="s" s="8">
        <v>10</v>
      </c>
      <c r="K36" s="135"/>
      <c r="L36" t="s" s="8">
        <v>10</v>
      </c>
      <c r="M36" s="34"/>
      <c r="N36" t="s" s="8">
        <v>10</v>
      </c>
      <c r="O36" s="34"/>
      <c r="P36" t="s" s="8">
        <v>10</v>
      </c>
      <c r="Q36" s="34"/>
      <c r="R36" t="s" s="8">
        <v>10</v>
      </c>
      <c r="S36" s="34"/>
      <c r="T36" t="s" s="8">
        <v>10</v>
      </c>
      <c r="U36" s="34"/>
      <c r="V36" t="s" s="8">
        <v>10</v>
      </c>
      <c r="W36" s="34"/>
      <c r="X36" t="s" s="8">
        <v>10</v>
      </c>
      <c r="Y36" s="34"/>
      <c r="Z36" t="s" s="8">
        <v>10</v>
      </c>
      <c r="AA36" s="34"/>
      <c r="AB36" t="s" s="8">
        <v>10</v>
      </c>
      <c r="AC36" s="34"/>
      <c r="AD36" s="367"/>
      <c r="AE36" s="177"/>
      <c r="AF36" s="7"/>
    </row>
    <row r="37" ht="13.55" customHeight="1">
      <c r="A37" s="9"/>
      <c r="B37" s="9"/>
      <c r="C37" s="9"/>
      <c r="D37" s="9"/>
      <c r="E37" s="9"/>
      <c r="F37" s="9"/>
      <c r="G37" s="27"/>
      <c r="H37" s="9"/>
      <c r="I37" s="27"/>
      <c r="J37" s="9"/>
      <c r="K37" s="2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31"/>
      <c r="AE37" s="13"/>
      <c r="AF37" s="7"/>
    </row>
    <row r="38" ht="13.75" customHeight="1">
      <c r="A38" s="83">
        <v>6</v>
      </c>
      <c r="B38" t="s" s="130">
        <v>730</v>
      </c>
      <c r="C38" s="9"/>
      <c r="D38" s="23"/>
      <c r="E38" t="s" s="8">
        <v>5</v>
      </c>
      <c r="F38" t="s" s="8">
        <v>6</v>
      </c>
      <c r="G38" s="16">
        <v>1179</v>
      </c>
      <c r="H38" t="s" s="8">
        <v>6</v>
      </c>
      <c r="I38" s="16">
        <v>3261</v>
      </c>
      <c r="J38" t="s" s="8">
        <v>6</v>
      </c>
      <c r="K38" s="16">
        <v>3261</v>
      </c>
      <c r="L38" t="s" s="8">
        <v>6</v>
      </c>
      <c r="M38" s="18"/>
      <c r="N38" t="s" s="8">
        <v>6</v>
      </c>
      <c r="O38" s="18"/>
      <c r="P38" t="s" s="8">
        <v>6</v>
      </c>
      <c r="Q38" s="18"/>
      <c r="R38" t="s" s="8">
        <v>6</v>
      </c>
      <c r="S38" s="18"/>
      <c r="T38" t="s" s="8">
        <v>6</v>
      </c>
      <c r="U38" s="18"/>
      <c r="V38" t="s" s="8">
        <v>6</v>
      </c>
      <c r="W38" s="18"/>
      <c r="X38" t="s" s="8">
        <v>6</v>
      </c>
      <c r="Y38" s="18"/>
      <c r="Z38" t="s" s="8">
        <v>6</v>
      </c>
      <c r="AA38" s="18"/>
      <c r="AB38" t="s" s="8">
        <v>6</v>
      </c>
      <c r="AC38" s="18"/>
      <c r="AD38" s="38"/>
      <c r="AE38" s="7"/>
      <c r="AF38" s="7"/>
    </row>
    <row r="39" ht="13.55" customHeight="1">
      <c r="A39" s="84"/>
      <c r="B39" s="27"/>
      <c r="C39" s="9"/>
      <c r="D39" s="42"/>
      <c r="E39" s="9"/>
      <c r="F39" t="s" s="8">
        <v>8</v>
      </c>
      <c r="G39" s="26">
        <v>1600</v>
      </c>
      <c r="H39" t="s" s="8">
        <v>8</v>
      </c>
      <c r="I39" s="26">
        <v>1600</v>
      </c>
      <c r="J39" t="s" s="8">
        <v>8</v>
      </c>
      <c r="K39" s="26">
        <v>1600</v>
      </c>
      <c r="L39" t="s" s="8">
        <v>8</v>
      </c>
      <c r="M39" s="27"/>
      <c r="N39" t="s" s="8">
        <v>8</v>
      </c>
      <c r="O39" s="27"/>
      <c r="P39" t="s" s="8">
        <v>8</v>
      </c>
      <c r="Q39" s="27"/>
      <c r="R39" t="s" s="8">
        <v>8</v>
      </c>
      <c r="S39" s="27"/>
      <c r="T39" t="s" s="8">
        <v>8</v>
      </c>
      <c r="U39" s="27"/>
      <c r="V39" t="s" s="8">
        <v>8</v>
      </c>
      <c r="W39" s="27"/>
      <c r="X39" t="s" s="8">
        <v>8</v>
      </c>
      <c r="Y39" s="27"/>
      <c r="Z39" t="s" s="8">
        <v>8</v>
      </c>
      <c r="AA39" s="27"/>
      <c r="AB39" t="s" s="8">
        <v>8</v>
      </c>
      <c r="AC39" s="27"/>
      <c r="AD39" s="368" cm="1">
        <f t="array" ref="AD39">G39+I39+K39+M39+O39+Q39+S39+U39+W39+Y39+AA39+AC39</f>
        <v>4800</v>
      </c>
      <c r="AE39" s="183" cm="1">
        <f t="array" ref="AE39">1500*12</f>
        <v>18000</v>
      </c>
      <c r="AF39" s="51" cm="1">
        <f t="array" ref="AF39">AE39-AD39</f>
        <v>13200</v>
      </c>
    </row>
    <row r="40" ht="13.55" customHeight="1">
      <c r="A40" s="84"/>
      <c r="B40" s="27"/>
      <c r="C40" t="s" s="8">
        <v>9</v>
      </c>
      <c r="D40" s="25">
        <v>1000</v>
      </c>
      <c r="E40" s="9"/>
      <c r="F40" t="s" s="8">
        <v>10</v>
      </c>
      <c r="G40" t="s" s="33">
        <v>39</v>
      </c>
      <c r="H40" t="s" s="8">
        <v>10</v>
      </c>
      <c r="I40" t="s" s="33">
        <v>35</v>
      </c>
      <c r="J40" t="s" s="8">
        <v>10</v>
      </c>
      <c r="K40" t="s" s="33">
        <v>35</v>
      </c>
      <c r="L40" t="s" s="8">
        <v>10</v>
      </c>
      <c r="M40" s="34"/>
      <c r="N40" t="s" s="8">
        <v>10</v>
      </c>
      <c r="O40" s="34"/>
      <c r="P40" t="s" s="8">
        <v>10</v>
      </c>
      <c r="Q40" s="34"/>
      <c r="R40" t="s" s="8">
        <v>10</v>
      </c>
      <c r="S40" s="34"/>
      <c r="T40" t="s" s="8">
        <v>10</v>
      </c>
      <c r="U40" s="34"/>
      <c r="V40" t="s" s="8">
        <v>10</v>
      </c>
      <c r="W40" s="34"/>
      <c r="X40" t="s" s="8">
        <v>10</v>
      </c>
      <c r="Y40" s="34"/>
      <c r="Z40" t="s" s="8">
        <v>10</v>
      </c>
      <c r="AA40" s="34"/>
      <c r="AB40" t="s" s="8">
        <v>10</v>
      </c>
      <c r="AC40" s="34"/>
      <c r="AD40" s="72"/>
      <c r="AE40" s="7"/>
      <c r="AF40" s="7"/>
    </row>
    <row r="41" ht="13.55" customHeight="1">
      <c r="A41" s="84"/>
      <c r="B41" t="s" s="8">
        <v>731</v>
      </c>
      <c r="C41" s="9"/>
      <c r="D41" s="23"/>
      <c r="E41" t="s" s="8">
        <v>14</v>
      </c>
      <c r="F41" t="s" s="8">
        <v>6</v>
      </c>
      <c r="G41" s="23"/>
      <c r="H41" t="s" s="8">
        <v>6</v>
      </c>
      <c r="I41" s="131"/>
      <c r="J41" t="s" s="8">
        <v>6</v>
      </c>
      <c r="K41" s="131"/>
      <c r="L41" t="s" s="8">
        <v>6</v>
      </c>
      <c r="M41" s="131"/>
      <c r="N41" t="s" s="8">
        <v>6</v>
      </c>
      <c r="O41" s="131"/>
      <c r="P41" t="s" s="8">
        <v>6</v>
      </c>
      <c r="Q41" s="131"/>
      <c r="R41" t="s" s="8">
        <v>6</v>
      </c>
      <c r="S41" s="131"/>
      <c r="T41" t="s" s="8">
        <v>6</v>
      </c>
      <c r="U41" s="131"/>
      <c r="V41" t="s" s="8">
        <v>6</v>
      </c>
      <c r="W41" s="131"/>
      <c r="X41" t="s" s="8">
        <v>6</v>
      </c>
      <c r="Y41" s="131"/>
      <c r="Z41" t="s" s="8">
        <v>6</v>
      </c>
      <c r="AA41" s="131"/>
      <c r="AB41" t="s" s="8">
        <v>6</v>
      </c>
      <c r="AC41" s="131"/>
      <c r="AD41" s="13"/>
      <c r="AE41" s="7"/>
      <c r="AF41" s="7"/>
    </row>
    <row r="42" ht="13.55" customHeight="1">
      <c r="A42" s="84"/>
      <c r="B42" t="s" s="8">
        <v>732</v>
      </c>
      <c r="C42" s="9"/>
      <c r="D42" s="23"/>
      <c r="E42" s="9"/>
      <c r="F42" t="s" s="8">
        <v>8</v>
      </c>
      <c r="G42" s="23"/>
      <c r="H42" t="s" s="8">
        <v>8</v>
      </c>
      <c r="I42" s="27"/>
      <c r="J42" t="s" s="8">
        <v>8</v>
      </c>
      <c r="K42" s="27"/>
      <c r="L42" t="s" s="8">
        <v>8</v>
      </c>
      <c r="M42" s="27"/>
      <c r="N42" t="s" s="8">
        <v>8</v>
      </c>
      <c r="O42" s="27"/>
      <c r="P42" t="s" s="8">
        <v>8</v>
      </c>
      <c r="Q42" s="27"/>
      <c r="R42" t="s" s="8">
        <v>8</v>
      </c>
      <c r="S42" s="27"/>
      <c r="T42" t="s" s="8">
        <v>8</v>
      </c>
      <c r="U42" s="27"/>
      <c r="V42" t="s" s="8">
        <v>8</v>
      </c>
      <c r="W42" s="27"/>
      <c r="X42" t="s" s="8">
        <v>8</v>
      </c>
      <c r="Y42" s="27"/>
      <c r="Z42" t="s" s="8">
        <v>8</v>
      </c>
      <c r="AA42" s="27"/>
      <c r="AB42" t="s" s="8">
        <v>8</v>
      </c>
      <c r="AC42" s="27"/>
      <c r="AD42" s="13"/>
      <c r="AE42" s="7"/>
      <c r="AF42" s="7"/>
    </row>
    <row r="43" ht="13.55" customHeight="1">
      <c r="A43" s="85"/>
      <c r="B43" s="23"/>
      <c r="C43" s="23"/>
      <c r="D43" s="23"/>
      <c r="E43" s="9"/>
      <c r="F43" t="s" s="8">
        <v>10</v>
      </c>
      <c r="G43" s="23"/>
      <c r="H43" t="s" s="8">
        <v>10</v>
      </c>
      <c r="I43" s="34"/>
      <c r="J43" t="s" s="8">
        <v>10</v>
      </c>
      <c r="K43" s="34"/>
      <c r="L43" t="s" s="8">
        <v>10</v>
      </c>
      <c r="M43" s="34"/>
      <c r="N43" t="s" s="8">
        <v>10</v>
      </c>
      <c r="O43" s="34"/>
      <c r="P43" t="s" s="8">
        <v>10</v>
      </c>
      <c r="Q43" s="34"/>
      <c r="R43" t="s" s="8">
        <v>10</v>
      </c>
      <c r="S43" s="34"/>
      <c r="T43" t="s" s="8">
        <v>10</v>
      </c>
      <c r="U43" s="34"/>
      <c r="V43" t="s" s="8">
        <v>10</v>
      </c>
      <c r="W43" s="34"/>
      <c r="X43" t="s" s="8">
        <v>10</v>
      </c>
      <c r="Y43" s="34"/>
      <c r="Z43" t="s" s="8">
        <v>10</v>
      </c>
      <c r="AA43" s="34"/>
      <c r="AB43" t="s" s="8">
        <v>10</v>
      </c>
      <c r="AC43" s="34"/>
      <c r="AD43" s="13"/>
      <c r="AE43" s="7"/>
      <c r="AF43" s="7"/>
    </row>
    <row r="44" ht="13.55" customHeight="1">
      <c r="A44" s="23"/>
      <c r="B44" s="23"/>
      <c r="C44" s="23"/>
      <c r="D44" s="23"/>
      <c r="E44" s="23"/>
      <c r="F44" s="23"/>
      <c r="G44" s="23"/>
      <c r="H44" s="38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39"/>
      <c r="Z44" s="9"/>
      <c r="AA44" s="9"/>
      <c r="AB44" s="9"/>
      <c r="AC44" s="332"/>
      <c r="AD44" s="7"/>
      <c r="AE44" s="7"/>
      <c r="AF44" s="7"/>
    </row>
    <row r="45" ht="13.75" customHeight="1">
      <c r="A45" s="83">
        <v>7</v>
      </c>
      <c r="B45" t="s" s="130">
        <v>733</v>
      </c>
      <c r="C45" s="9"/>
      <c r="D45" s="23"/>
      <c r="E45" t="s" s="8">
        <v>5</v>
      </c>
      <c r="F45" t="s" s="8">
        <v>6</v>
      </c>
      <c r="G45" s="16">
        <v>1197</v>
      </c>
      <c r="H45" t="s" s="8">
        <v>6</v>
      </c>
      <c r="I45" s="18"/>
      <c r="J45" t="s" s="8">
        <v>6</v>
      </c>
      <c r="K45" s="18"/>
      <c r="L45" t="s" s="8">
        <v>6</v>
      </c>
      <c r="M45" s="18"/>
      <c r="N45" t="s" s="8">
        <v>6</v>
      </c>
      <c r="O45" s="18"/>
      <c r="P45" t="s" s="8">
        <v>6</v>
      </c>
      <c r="Q45" s="18"/>
      <c r="R45" t="s" s="8">
        <v>6</v>
      </c>
      <c r="S45" s="18"/>
      <c r="T45" t="s" s="8">
        <v>6</v>
      </c>
      <c r="U45" s="18"/>
      <c r="V45" t="s" s="8">
        <v>6</v>
      </c>
      <c r="W45" s="18"/>
      <c r="X45" t="s" s="8">
        <v>6</v>
      </c>
      <c r="Y45" s="18"/>
      <c r="Z45" t="s" s="8">
        <v>6</v>
      </c>
      <c r="AA45" s="18"/>
      <c r="AB45" t="s" s="8">
        <v>6</v>
      </c>
      <c r="AC45" s="18"/>
      <c r="AD45" s="71"/>
      <c r="AE45" s="7"/>
      <c r="AF45" s="7"/>
    </row>
    <row r="46" ht="13.55" customHeight="1">
      <c r="A46" s="84"/>
      <c r="B46" s="27"/>
      <c r="C46" s="9"/>
      <c r="D46" s="42"/>
      <c r="E46" s="9"/>
      <c r="F46" t="s" s="8">
        <v>8</v>
      </c>
      <c r="G46" s="26">
        <v>1600</v>
      </c>
      <c r="H46" t="s" s="8">
        <v>8</v>
      </c>
      <c r="I46" s="27"/>
      <c r="J46" t="s" s="8">
        <v>8</v>
      </c>
      <c r="K46" s="27"/>
      <c r="L46" t="s" s="8">
        <v>8</v>
      </c>
      <c r="M46" s="27"/>
      <c r="N46" t="s" s="8">
        <v>8</v>
      </c>
      <c r="O46" s="27"/>
      <c r="P46" t="s" s="8">
        <v>8</v>
      </c>
      <c r="Q46" s="27"/>
      <c r="R46" t="s" s="8">
        <v>8</v>
      </c>
      <c r="S46" s="27"/>
      <c r="T46" t="s" s="8">
        <v>8</v>
      </c>
      <c r="U46" s="27"/>
      <c r="V46" t="s" s="8">
        <v>8</v>
      </c>
      <c r="W46" s="27"/>
      <c r="X46" t="s" s="8">
        <v>8</v>
      </c>
      <c r="Y46" s="27"/>
      <c r="Z46" t="s" s="8">
        <v>8</v>
      </c>
      <c r="AA46" s="27"/>
      <c r="AB46" t="s" s="8">
        <v>8</v>
      </c>
      <c r="AC46" s="27"/>
      <c r="AD46" s="368" cm="1">
        <f t="array" ref="AD46">G46+I46+K46+M46+O46+Q46+S46+U46+W46+Y46+AA46+AC46</f>
        <v>1600</v>
      </c>
      <c r="AE46" s="183" cm="1">
        <f t="array" ref="AE46">1500*12</f>
        <v>18000</v>
      </c>
      <c r="AF46" s="51" cm="1">
        <f t="array" ref="AF46">AE46-AD46</f>
        <v>16400</v>
      </c>
    </row>
    <row r="47" ht="13.55" customHeight="1">
      <c r="A47" s="84"/>
      <c r="B47" s="27"/>
      <c r="C47" t="s" s="8">
        <v>9</v>
      </c>
      <c r="D47" s="25">
        <v>1000</v>
      </c>
      <c r="E47" s="9"/>
      <c r="F47" t="s" s="8">
        <v>10</v>
      </c>
      <c r="G47" t="s" s="33">
        <v>74</v>
      </c>
      <c r="H47" t="s" s="8">
        <v>10</v>
      </c>
      <c r="I47" s="34"/>
      <c r="J47" t="s" s="8">
        <v>10</v>
      </c>
      <c r="K47" s="34"/>
      <c r="L47" t="s" s="8">
        <v>10</v>
      </c>
      <c r="M47" s="34"/>
      <c r="N47" t="s" s="8">
        <v>10</v>
      </c>
      <c r="O47" s="34"/>
      <c r="P47" t="s" s="8">
        <v>10</v>
      </c>
      <c r="Q47" s="34"/>
      <c r="R47" t="s" s="8">
        <v>10</v>
      </c>
      <c r="S47" s="34"/>
      <c r="T47" t="s" s="8">
        <v>10</v>
      </c>
      <c r="U47" s="34"/>
      <c r="V47" t="s" s="8">
        <v>10</v>
      </c>
      <c r="W47" s="34"/>
      <c r="X47" t="s" s="8">
        <v>10</v>
      </c>
      <c r="Y47" s="34"/>
      <c r="Z47" t="s" s="8">
        <v>10</v>
      </c>
      <c r="AA47" s="34"/>
      <c r="AB47" t="s" s="8">
        <v>10</v>
      </c>
      <c r="AC47" s="34"/>
      <c r="AD47" s="72"/>
      <c r="AE47" s="7"/>
      <c r="AF47" s="7"/>
    </row>
    <row r="48" ht="13.75" customHeight="1">
      <c r="A48" s="84"/>
      <c r="B48" t="s" s="8">
        <v>734</v>
      </c>
      <c r="C48" s="9"/>
      <c r="D48" s="42"/>
      <c r="E48" t="s" s="8">
        <v>14</v>
      </c>
      <c r="F48" t="s" s="8">
        <v>6</v>
      </c>
      <c r="G48" s="16">
        <v>2052</v>
      </c>
      <c r="H48" t="s" s="8">
        <v>6</v>
      </c>
      <c r="I48" s="18"/>
      <c r="J48" t="s" s="8">
        <v>6</v>
      </c>
      <c r="K48" s="131"/>
      <c r="L48" t="s" s="8">
        <v>6</v>
      </c>
      <c r="M48" s="18"/>
      <c r="N48" t="s" s="8">
        <v>6</v>
      </c>
      <c r="O48" s="18"/>
      <c r="P48" t="s" s="8">
        <v>6</v>
      </c>
      <c r="Q48" s="18"/>
      <c r="R48" t="s" s="8">
        <v>6</v>
      </c>
      <c r="S48" s="18"/>
      <c r="T48" t="s" s="8">
        <v>6</v>
      </c>
      <c r="U48" s="18"/>
      <c r="V48" t="s" s="8">
        <v>6</v>
      </c>
      <c r="W48" s="18"/>
      <c r="X48" t="s" s="8">
        <v>6</v>
      </c>
      <c r="Y48" s="18"/>
      <c r="Z48" t="s" s="8">
        <v>6</v>
      </c>
      <c r="AA48" s="18"/>
      <c r="AB48" t="s" s="8">
        <v>6</v>
      </c>
      <c r="AC48" s="18"/>
      <c r="AD48" s="71"/>
      <c r="AE48" s="7"/>
      <c r="AF48" s="7"/>
    </row>
    <row r="49" ht="13.55" customHeight="1">
      <c r="A49" s="84"/>
      <c r="B49" t="s" s="8">
        <v>735</v>
      </c>
      <c r="C49" s="9"/>
      <c r="D49" s="23"/>
      <c r="E49" s="9"/>
      <c r="F49" t="s" s="8">
        <v>8</v>
      </c>
      <c r="G49" s="26">
        <v>600</v>
      </c>
      <c r="H49" t="s" s="8">
        <v>8</v>
      </c>
      <c r="I49" s="27"/>
      <c r="J49" t="s" s="8">
        <v>8</v>
      </c>
      <c r="K49" s="27"/>
      <c r="L49" t="s" s="8">
        <v>8</v>
      </c>
      <c r="M49" s="27"/>
      <c r="N49" t="s" s="8">
        <v>8</v>
      </c>
      <c r="O49" s="27"/>
      <c r="P49" t="s" s="8">
        <v>8</v>
      </c>
      <c r="Q49" s="27"/>
      <c r="R49" t="s" s="8">
        <v>8</v>
      </c>
      <c r="S49" s="27"/>
      <c r="T49" t="s" s="8">
        <v>8</v>
      </c>
      <c r="U49" s="27"/>
      <c r="V49" t="s" s="8">
        <v>8</v>
      </c>
      <c r="W49" s="27"/>
      <c r="X49" t="s" s="8">
        <v>8</v>
      </c>
      <c r="Y49" s="27"/>
      <c r="Z49" t="s" s="8">
        <v>8</v>
      </c>
      <c r="AA49" s="27"/>
      <c r="AB49" t="s" s="8">
        <v>8</v>
      </c>
      <c r="AC49" s="27"/>
      <c r="AD49" s="368" cm="1">
        <f t="array" ref="AD49">G49+I49+K49+M49+O49+Q49+S49+U49+W49+Y49+AA49+AC49</f>
        <v>600</v>
      </c>
      <c r="AE49" s="183" cm="1">
        <f t="array" ref="AE49">500*10</f>
        <v>5000</v>
      </c>
      <c r="AF49" s="51" cm="1">
        <f t="array" ref="AF49">AE49-AD49</f>
        <v>4400</v>
      </c>
    </row>
    <row r="50" ht="13.55" customHeight="1">
      <c r="A50" s="85"/>
      <c r="B50" s="23"/>
      <c r="C50" s="23"/>
      <c r="D50" s="23"/>
      <c r="E50" s="9"/>
      <c r="F50" t="s" s="8">
        <v>10</v>
      </c>
      <c r="G50" t="s" s="33">
        <v>93</v>
      </c>
      <c r="H50" t="s" s="8">
        <v>10</v>
      </c>
      <c r="I50" s="34"/>
      <c r="J50" t="s" s="8">
        <v>10</v>
      </c>
      <c r="K50" s="34"/>
      <c r="L50" t="s" s="8">
        <v>10</v>
      </c>
      <c r="M50" s="34"/>
      <c r="N50" t="s" s="8">
        <v>10</v>
      </c>
      <c r="O50" s="34"/>
      <c r="P50" t="s" s="8">
        <v>10</v>
      </c>
      <c r="Q50" s="34"/>
      <c r="R50" t="s" s="8">
        <v>10</v>
      </c>
      <c r="S50" s="34"/>
      <c r="T50" t="s" s="8">
        <v>10</v>
      </c>
      <c r="U50" s="34"/>
      <c r="V50" t="s" s="8">
        <v>10</v>
      </c>
      <c r="W50" s="34"/>
      <c r="X50" t="s" s="8">
        <v>10</v>
      </c>
      <c r="Y50" s="34"/>
      <c r="Z50" t="s" s="8">
        <v>10</v>
      </c>
      <c r="AA50" s="34"/>
      <c r="AB50" t="s" s="8">
        <v>10</v>
      </c>
      <c r="AC50" s="34"/>
      <c r="AD50" s="72"/>
      <c r="AE50" s="7"/>
      <c r="AF50" s="7"/>
    </row>
    <row r="51" ht="13.55" customHeight="1">
      <c r="A51" s="23"/>
      <c r="B51" s="23"/>
      <c r="C51" s="23"/>
      <c r="D51" s="38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39"/>
      <c r="Z51" s="9"/>
      <c r="AA51" s="9"/>
      <c r="AB51" s="9"/>
      <c r="AC51" s="332"/>
      <c r="AD51" s="7"/>
      <c r="AE51" s="7"/>
      <c r="AF51" s="7"/>
    </row>
    <row r="52" ht="13.75" customHeight="1">
      <c r="A52" s="136">
        <v>8</v>
      </c>
      <c r="B52" t="s" s="130">
        <v>736</v>
      </c>
      <c r="C52" s="9"/>
      <c r="D52" s="23"/>
      <c r="E52" t="s" s="8">
        <v>5</v>
      </c>
      <c r="F52" t="s" s="8">
        <v>6</v>
      </c>
      <c r="G52" s="16">
        <v>1124</v>
      </c>
      <c r="H52" t="s" s="8">
        <v>6</v>
      </c>
      <c r="I52" s="16">
        <v>3164</v>
      </c>
      <c r="J52" t="s" s="8">
        <v>6</v>
      </c>
      <c r="K52" s="18"/>
      <c r="L52" t="s" s="8">
        <v>6</v>
      </c>
      <c r="M52" s="18"/>
      <c r="N52" t="s" s="8">
        <v>6</v>
      </c>
      <c r="O52" s="18"/>
      <c r="P52" t="s" s="8">
        <v>6</v>
      </c>
      <c r="Q52" s="18"/>
      <c r="R52" t="s" s="8">
        <v>6</v>
      </c>
      <c r="S52" s="18"/>
      <c r="T52" t="s" s="8">
        <v>6</v>
      </c>
      <c r="U52" s="18"/>
      <c r="V52" t="s" s="8">
        <v>6</v>
      </c>
      <c r="W52" s="18"/>
      <c r="X52" t="s" s="8">
        <v>6</v>
      </c>
      <c r="Y52" s="18"/>
      <c r="Z52" t="s" s="8">
        <v>6</v>
      </c>
      <c r="AA52" s="18"/>
      <c r="AB52" t="s" s="8">
        <v>6</v>
      </c>
      <c r="AC52" s="18"/>
      <c r="AD52" s="71"/>
      <c r="AE52" s="7"/>
      <c r="AF52" s="7"/>
    </row>
    <row r="53" ht="13.55" customHeight="1">
      <c r="A53" s="137"/>
      <c r="B53" s="27"/>
      <c r="C53" s="9"/>
      <c r="D53" s="42"/>
      <c r="E53" s="9"/>
      <c r="F53" t="s" s="8">
        <v>8</v>
      </c>
      <c r="G53" s="26">
        <v>1600</v>
      </c>
      <c r="H53" t="s" s="8">
        <v>8</v>
      </c>
      <c r="I53" s="26">
        <v>1600</v>
      </c>
      <c r="J53" t="s" s="8">
        <v>8</v>
      </c>
      <c r="K53" s="27"/>
      <c r="L53" t="s" s="8">
        <v>8</v>
      </c>
      <c r="M53" s="27"/>
      <c r="N53" t="s" s="8">
        <v>8</v>
      </c>
      <c r="O53" s="27"/>
      <c r="P53" t="s" s="8">
        <v>8</v>
      </c>
      <c r="Q53" s="27"/>
      <c r="R53" t="s" s="8">
        <v>8</v>
      </c>
      <c r="S53" s="27"/>
      <c r="T53" t="s" s="8">
        <v>8</v>
      </c>
      <c r="U53" s="27"/>
      <c r="V53" t="s" s="8">
        <v>8</v>
      </c>
      <c r="W53" s="27"/>
      <c r="X53" t="s" s="8">
        <v>8</v>
      </c>
      <c r="Y53" s="27"/>
      <c r="Z53" t="s" s="8">
        <v>8</v>
      </c>
      <c r="AA53" s="27"/>
      <c r="AB53" t="s" s="8">
        <v>8</v>
      </c>
      <c r="AC53" s="27"/>
      <c r="AD53" s="368" cm="1">
        <f t="array" ref="AD53">G53+I53+K53+M53+O53+Q53+S53+U53+W53+Y53+AA53+AC53</f>
        <v>3200</v>
      </c>
      <c r="AE53" s="183" cm="1">
        <f t="array" ref="AE53">1500*12</f>
        <v>18000</v>
      </c>
      <c r="AF53" s="51" cm="1">
        <f t="array" ref="AF53">AE53-AD53</f>
        <v>14800</v>
      </c>
    </row>
    <row r="54" ht="13.55" customHeight="1">
      <c r="A54" s="137"/>
      <c r="B54" s="27"/>
      <c r="C54" t="s" s="8">
        <v>9</v>
      </c>
      <c r="D54" s="25">
        <v>1000</v>
      </c>
      <c r="E54" s="9"/>
      <c r="F54" t="s" s="8">
        <v>10</v>
      </c>
      <c r="G54" t="s" s="33">
        <v>93</v>
      </c>
      <c r="H54" t="s" s="8">
        <v>10</v>
      </c>
      <c r="I54" t="s" s="33">
        <v>142</v>
      </c>
      <c r="J54" t="s" s="8">
        <v>10</v>
      </c>
      <c r="K54" s="34"/>
      <c r="L54" t="s" s="8">
        <v>10</v>
      </c>
      <c r="M54" s="34"/>
      <c r="N54" t="s" s="8">
        <v>10</v>
      </c>
      <c r="O54" s="34"/>
      <c r="P54" t="s" s="8">
        <v>10</v>
      </c>
      <c r="Q54" s="34"/>
      <c r="R54" t="s" s="8">
        <v>10</v>
      </c>
      <c r="S54" s="34"/>
      <c r="T54" t="s" s="8">
        <v>10</v>
      </c>
      <c r="U54" s="34"/>
      <c r="V54" t="s" s="8">
        <v>10</v>
      </c>
      <c r="W54" s="34"/>
      <c r="X54" t="s" s="8">
        <v>10</v>
      </c>
      <c r="Y54" s="34"/>
      <c r="Z54" t="s" s="8">
        <v>10</v>
      </c>
      <c r="AA54" s="34"/>
      <c r="AB54" t="s" s="8">
        <v>10</v>
      </c>
      <c r="AC54" s="34"/>
      <c r="AD54" s="72"/>
      <c r="AE54" s="7"/>
      <c r="AF54" s="7"/>
    </row>
    <row r="55" ht="13.55" customHeight="1">
      <c r="A55" s="137"/>
      <c r="B55" t="s" s="8">
        <v>737</v>
      </c>
      <c r="C55" s="9"/>
      <c r="D55" s="42"/>
      <c r="E55" t="s" s="8">
        <v>14</v>
      </c>
      <c r="F55" t="s" s="8">
        <v>6</v>
      </c>
      <c r="G55" s="23"/>
      <c r="H55" t="s" s="8">
        <v>6</v>
      </c>
      <c r="I55" s="131"/>
      <c r="J55" t="s" s="8">
        <v>6</v>
      </c>
      <c r="K55" s="131"/>
      <c r="L55" t="s" s="8">
        <v>6</v>
      </c>
      <c r="M55" s="131"/>
      <c r="N55" t="s" s="8">
        <v>6</v>
      </c>
      <c r="O55" s="131"/>
      <c r="P55" t="s" s="8">
        <v>6</v>
      </c>
      <c r="Q55" s="131"/>
      <c r="R55" t="s" s="8">
        <v>6</v>
      </c>
      <c r="S55" s="131"/>
      <c r="T55" t="s" s="8">
        <v>6</v>
      </c>
      <c r="U55" s="131"/>
      <c r="V55" t="s" s="8">
        <v>6</v>
      </c>
      <c r="W55" s="131"/>
      <c r="X55" t="s" s="8">
        <v>6</v>
      </c>
      <c r="Y55" s="131"/>
      <c r="Z55" t="s" s="8">
        <v>6</v>
      </c>
      <c r="AA55" s="131"/>
      <c r="AB55" t="s" s="8">
        <v>6</v>
      </c>
      <c r="AC55" s="131"/>
      <c r="AD55" s="13"/>
      <c r="AE55" s="7"/>
      <c r="AF55" s="7"/>
    </row>
    <row r="56" ht="13.55" customHeight="1">
      <c r="A56" s="137"/>
      <c r="B56" t="s" s="8">
        <v>738</v>
      </c>
      <c r="C56" s="9"/>
      <c r="D56" s="23"/>
      <c r="E56" s="9"/>
      <c r="F56" t="s" s="8">
        <v>8</v>
      </c>
      <c r="G56" s="23"/>
      <c r="H56" t="s" s="8">
        <v>8</v>
      </c>
      <c r="I56" s="27"/>
      <c r="J56" t="s" s="8">
        <v>8</v>
      </c>
      <c r="K56" s="27"/>
      <c r="L56" t="s" s="8">
        <v>8</v>
      </c>
      <c r="M56" s="27"/>
      <c r="N56" t="s" s="8">
        <v>8</v>
      </c>
      <c r="O56" s="27"/>
      <c r="P56" t="s" s="8">
        <v>8</v>
      </c>
      <c r="Q56" s="27"/>
      <c r="R56" t="s" s="8">
        <v>8</v>
      </c>
      <c r="S56" s="27"/>
      <c r="T56" t="s" s="8">
        <v>8</v>
      </c>
      <c r="U56" s="27"/>
      <c r="V56" t="s" s="8">
        <v>8</v>
      </c>
      <c r="W56" s="27"/>
      <c r="X56" t="s" s="8">
        <v>8</v>
      </c>
      <c r="Y56" s="27"/>
      <c r="Z56" t="s" s="8">
        <v>8</v>
      </c>
      <c r="AA56" s="27"/>
      <c r="AB56" t="s" s="8">
        <v>8</v>
      </c>
      <c r="AC56" s="27"/>
      <c r="AD56" s="13"/>
      <c r="AE56" s="7"/>
      <c r="AF56" s="7"/>
    </row>
    <row r="57" ht="13.55" customHeight="1">
      <c r="A57" s="137"/>
      <c r="B57" s="24"/>
      <c r="C57" s="23"/>
      <c r="D57" s="23"/>
      <c r="E57" s="9"/>
      <c r="F57" t="s" s="8">
        <v>10</v>
      </c>
      <c r="G57" s="23"/>
      <c r="H57" t="s" s="8">
        <v>10</v>
      </c>
      <c r="I57" s="34"/>
      <c r="J57" t="s" s="8">
        <v>10</v>
      </c>
      <c r="K57" s="34"/>
      <c r="L57" t="s" s="8">
        <v>10</v>
      </c>
      <c r="M57" s="34"/>
      <c r="N57" t="s" s="8">
        <v>10</v>
      </c>
      <c r="O57" s="34"/>
      <c r="P57" t="s" s="8">
        <v>10</v>
      </c>
      <c r="Q57" s="34"/>
      <c r="R57" t="s" s="8">
        <v>10</v>
      </c>
      <c r="S57" s="34"/>
      <c r="T57" t="s" s="8">
        <v>10</v>
      </c>
      <c r="U57" s="34"/>
      <c r="V57" t="s" s="8">
        <v>10</v>
      </c>
      <c r="W57" s="34"/>
      <c r="X57" t="s" s="8">
        <v>10</v>
      </c>
      <c r="Y57" s="34"/>
      <c r="Z57" t="s" s="8">
        <v>10</v>
      </c>
      <c r="AA57" s="34"/>
      <c r="AB57" t="s" s="8">
        <v>10</v>
      </c>
      <c r="AC57" s="34"/>
      <c r="AD57" s="13"/>
      <c r="AE57" s="7"/>
      <c r="AF57" s="7"/>
    </row>
  </sheetData>
  <mergeCells count="22">
    <mergeCell ref="Z2:AA2"/>
    <mergeCell ref="AB2:AC2"/>
    <mergeCell ref="P2:Q2"/>
    <mergeCell ref="R2:S2"/>
    <mergeCell ref="T2:U2"/>
    <mergeCell ref="V2:W2"/>
    <mergeCell ref="L2:M2"/>
    <mergeCell ref="N2:O2"/>
    <mergeCell ref="A31:A36"/>
    <mergeCell ref="A38:A43"/>
    <mergeCell ref="X2:Y2"/>
    <mergeCell ref="A45:A50"/>
    <mergeCell ref="A52:A57"/>
    <mergeCell ref="B1:K1"/>
    <mergeCell ref="A3:A8"/>
    <mergeCell ref="A10:A15"/>
    <mergeCell ref="A17:A22"/>
    <mergeCell ref="F2:G2"/>
    <mergeCell ref="H2:I2"/>
    <mergeCell ref="A24:A29"/>
    <mergeCell ref="K27:K29"/>
    <mergeCell ref="J2:K2"/>
  </mergeCells>
  <pageMargins left="0.2" right="0.2" top="0.5" bottom="0.5" header="0.3" footer="0.3"/>
  <pageSetup firstPageNumber="1" fitToHeight="1" fitToWidth="1" scale="62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AA61"/>
  <sheetViews>
    <sheetView workbookViewId="0" showGridLines="0" defaultGridColor="1"/>
  </sheetViews>
  <sheetFormatPr defaultColWidth="9.16667" defaultRowHeight="15" customHeight="1" outlineLevelRow="0" outlineLevelCol="0"/>
  <cols>
    <col min="1" max="1" width="6.67188" style="371" customWidth="1"/>
    <col min="2" max="2" width="8.5" style="371" customWidth="1"/>
    <col min="3" max="3" width="14.5" style="371" customWidth="1"/>
    <col min="4" max="4" width="17.8516" style="371" customWidth="1"/>
    <col min="5" max="5" width="11.6719" style="371" customWidth="1"/>
    <col min="6" max="6" width="14.6719" style="371" customWidth="1"/>
    <col min="7" max="7" width="9.17188" style="371" customWidth="1"/>
    <col min="8" max="8" width="5.5" style="371" customWidth="1"/>
    <col min="9" max="9" width="8.35156" style="371" customWidth="1"/>
    <col min="10" max="10" width="5.85156" style="371" customWidth="1"/>
    <col min="11" max="11" width="8.67188" style="371" customWidth="1"/>
    <col min="12" max="12" width="5.67188" style="371" customWidth="1"/>
    <col min="13" max="13" width="8.35156" style="371" customWidth="1"/>
    <col min="14" max="14" width="6" style="371" customWidth="1"/>
    <col min="15" max="15" width="8.5" style="371" customWidth="1"/>
    <col min="16" max="16" width="6" style="371" customWidth="1"/>
    <col min="17" max="17" width="8.85156" style="371" customWidth="1"/>
    <col min="18" max="18" width="5.85156" style="371" customWidth="1"/>
    <col min="19" max="19" width="8.5" style="371" customWidth="1"/>
    <col min="20" max="20" width="5.5" style="371" customWidth="1"/>
    <col min="21" max="21" width="8.85156" style="371" customWidth="1"/>
    <col min="22" max="22" width="5.67188" style="371" customWidth="1"/>
    <col min="23" max="23" width="9.67188" style="371" customWidth="1"/>
    <col min="24" max="24" width="6.85156" style="371" customWidth="1"/>
    <col min="25" max="25" width="10" style="371" customWidth="1"/>
    <col min="26" max="26" width="5.5" style="371" customWidth="1"/>
    <col min="27" max="27" width="8.5" style="371" customWidth="1"/>
    <col min="28" max="16384" width="9.17188" style="371" customWidth="1"/>
  </cols>
  <sheetData>
    <row r="1" ht="13.55" customHeight="1">
      <c r="A1" s="111"/>
      <c r="B1" t="s" s="372">
        <v>739</v>
      </c>
      <c r="C1" s="373"/>
      <c r="D1" s="111"/>
      <c r="E1" s="111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3.55" customHeight="1">
      <c r="A2" t="s" s="130">
        <v>740</v>
      </c>
      <c r="B2" t="s" s="130">
        <v>741</v>
      </c>
      <c r="C2" t="s" s="130">
        <v>742</v>
      </c>
      <c r="D2" t="s" s="8">
        <v>743</v>
      </c>
      <c r="E2" t="s" s="33">
        <v>744</v>
      </c>
      <c r="F2" s="308"/>
      <c r="G2" s="317"/>
      <c r="H2" s="309"/>
      <c r="I2" s="316"/>
      <c r="J2" s="309"/>
      <c r="K2" s="317"/>
      <c r="L2" s="309"/>
      <c r="M2" s="317"/>
      <c r="N2" s="309"/>
      <c r="O2" s="318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</row>
    <row r="3" ht="13.55" customHeight="1">
      <c r="A3" s="374">
        <v>1</v>
      </c>
      <c r="B3" t="s" s="15">
        <v>745</v>
      </c>
      <c r="C3" t="s" s="15">
        <v>746</v>
      </c>
      <c r="D3" s="253"/>
      <c r="E3" s="299"/>
      <c r="F3" s="308"/>
      <c r="G3" s="7"/>
      <c r="H3" s="309"/>
      <c r="I3" s="316"/>
      <c r="J3" s="309"/>
      <c r="K3" s="7"/>
      <c r="L3" s="309"/>
      <c r="M3" s="7"/>
      <c r="N3" s="309"/>
      <c r="O3" s="7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3.55" customHeight="1">
      <c r="A4" s="374">
        <v>2</v>
      </c>
      <c r="B4" s="23"/>
      <c r="C4" s="23"/>
      <c r="D4" s="253"/>
      <c r="E4" s="299"/>
      <c r="F4" s="308"/>
      <c r="G4" s="316"/>
      <c r="H4" s="309"/>
      <c r="I4" s="316"/>
      <c r="J4" s="309"/>
      <c r="K4" s="316"/>
      <c r="L4" s="309"/>
      <c r="M4" s="316"/>
      <c r="N4" s="309"/>
      <c r="O4" s="316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</row>
    <row r="5" ht="13.55" customHeight="1">
      <c r="A5" s="70"/>
      <c r="B5" s="70"/>
      <c r="C5" s="307"/>
      <c r="D5" s="307"/>
      <c r="E5" s="313"/>
      <c r="F5" s="309"/>
      <c r="G5" s="317"/>
      <c r="H5" s="309"/>
      <c r="I5" s="316"/>
      <c r="J5" s="309"/>
      <c r="K5" s="317"/>
      <c r="L5" s="309"/>
      <c r="M5" s="317"/>
      <c r="N5" s="309"/>
      <c r="O5" s="317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</row>
    <row r="6" ht="13.5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3.55" customHeight="1">
      <c r="A7" s="7"/>
      <c r="B7" s="7"/>
      <c r="C7" s="309"/>
      <c r="D7" s="309"/>
      <c r="E7" s="7"/>
      <c r="F7" s="309"/>
      <c r="G7" s="7"/>
      <c r="H7" s="309"/>
      <c r="I7" s="7"/>
      <c r="J7" s="309"/>
      <c r="K7" s="7"/>
      <c r="L7" s="309"/>
      <c r="M7" s="7"/>
      <c r="N7" s="309"/>
      <c r="O7" s="7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</row>
    <row r="8" ht="13.55" customHeight="1">
      <c r="A8" s="7"/>
      <c r="B8" s="7"/>
      <c r="C8" s="309"/>
      <c r="D8" s="309"/>
      <c r="E8" s="316"/>
      <c r="F8" s="309"/>
      <c r="G8" s="316"/>
      <c r="H8" s="309"/>
      <c r="I8" s="316"/>
      <c r="J8" s="309"/>
      <c r="K8" s="316"/>
      <c r="L8" s="309"/>
      <c r="M8" s="316"/>
      <c r="N8" s="309"/>
      <c r="O8" s="316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</row>
    <row r="9" ht="13.55" customHeight="1">
      <c r="A9" s="7"/>
      <c r="B9" s="7"/>
      <c r="C9" s="309"/>
      <c r="D9" s="309"/>
      <c r="E9" s="317"/>
      <c r="F9" s="309"/>
      <c r="G9" s="317"/>
      <c r="H9" s="309"/>
      <c r="I9" s="316"/>
      <c r="J9" s="309"/>
      <c r="K9" s="317"/>
      <c r="L9" s="309"/>
      <c r="M9" s="317"/>
      <c r="N9" s="309"/>
      <c r="O9" s="318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</row>
    <row r="10" ht="13.55" customHeight="1">
      <c r="A10" s="7"/>
      <c r="B10" s="7"/>
      <c r="C10" s="309"/>
      <c r="D10" s="309"/>
      <c r="E10" s="316"/>
      <c r="F10" s="309"/>
      <c r="G10" s="7"/>
      <c r="H10" s="309"/>
      <c r="I10" s="316"/>
      <c r="J10" s="309"/>
      <c r="K10" s="7"/>
      <c r="L10" s="309"/>
      <c r="M10" s="7"/>
      <c r="N10" s="309"/>
      <c r="O10" s="7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</row>
    <row r="11" ht="13.55" customHeight="1">
      <c r="A11" s="7"/>
      <c r="B11" s="7"/>
      <c r="C11" s="309"/>
      <c r="D11" s="309"/>
      <c r="E11" s="316"/>
      <c r="F11" s="309"/>
      <c r="G11" s="316"/>
      <c r="H11" s="309"/>
      <c r="I11" s="316"/>
      <c r="J11" s="309"/>
      <c r="K11" s="316"/>
      <c r="L11" s="309"/>
      <c r="M11" s="316"/>
      <c r="N11" s="309"/>
      <c r="O11" s="316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</row>
    <row r="12" ht="13.55" customHeight="1">
      <c r="A12" s="7"/>
      <c r="B12" s="7"/>
      <c r="C12" s="309"/>
      <c r="D12" s="309"/>
      <c r="E12" s="316"/>
      <c r="F12" s="309"/>
      <c r="G12" s="317"/>
      <c r="H12" s="309"/>
      <c r="I12" s="316"/>
      <c r="J12" s="309"/>
      <c r="K12" s="317"/>
      <c r="L12" s="309"/>
      <c r="M12" s="317"/>
      <c r="N12" s="309"/>
      <c r="O12" s="317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</row>
    <row r="13" ht="13.5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3.55" customHeight="1">
      <c r="A14" s="7"/>
      <c r="B14" s="7"/>
      <c r="C14" s="309"/>
      <c r="D14" s="309"/>
      <c r="E14" s="7"/>
      <c r="F14" s="309"/>
      <c r="G14" s="7"/>
      <c r="H14" s="309"/>
      <c r="I14" s="7"/>
      <c r="J14" s="309"/>
      <c r="K14" s="7"/>
      <c r="L14" s="309"/>
      <c r="M14" s="7"/>
      <c r="N14" s="309"/>
      <c r="O14" s="7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</row>
    <row r="15" ht="13.55" customHeight="1">
      <c r="A15" s="7"/>
      <c r="B15" s="7"/>
      <c r="C15" s="309"/>
      <c r="D15" s="309"/>
      <c r="E15" s="316"/>
      <c r="F15" s="309"/>
      <c r="G15" s="316"/>
      <c r="H15" s="309"/>
      <c r="I15" s="316"/>
      <c r="J15" s="309"/>
      <c r="K15" s="316"/>
      <c r="L15" s="309"/>
      <c r="M15" s="316"/>
      <c r="N15" s="309"/>
      <c r="O15" s="316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</row>
    <row r="16" ht="13.55" customHeight="1">
      <c r="A16" s="7"/>
      <c r="B16" s="7"/>
      <c r="C16" s="309"/>
      <c r="D16" s="309"/>
      <c r="E16" s="317"/>
      <c r="F16" s="309"/>
      <c r="G16" s="317"/>
      <c r="H16" s="309"/>
      <c r="I16" s="316"/>
      <c r="J16" s="309"/>
      <c r="K16" s="317"/>
      <c r="L16" s="309"/>
      <c r="M16" s="317"/>
      <c r="N16" s="309"/>
      <c r="O16" s="318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</row>
    <row r="17" ht="13.55" customHeight="1">
      <c r="A17" s="7"/>
      <c r="B17" s="7"/>
      <c r="C17" s="309"/>
      <c r="D17" s="309"/>
      <c r="E17" s="316"/>
      <c r="F17" s="309"/>
      <c r="G17" s="7"/>
      <c r="H17" s="309"/>
      <c r="I17" s="316"/>
      <c r="J17" s="309"/>
      <c r="K17" s="7"/>
      <c r="L17" s="309"/>
      <c r="M17" s="7"/>
      <c r="N17" s="309"/>
      <c r="O17" s="7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</row>
    <row r="18" ht="13.55" customHeight="1">
      <c r="A18" s="7"/>
      <c r="B18" s="7"/>
      <c r="C18" s="309"/>
      <c r="D18" s="309"/>
      <c r="E18" s="316"/>
      <c r="F18" s="309"/>
      <c r="G18" s="316"/>
      <c r="H18" s="309"/>
      <c r="I18" s="316"/>
      <c r="J18" s="309"/>
      <c r="K18" s="316"/>
      <c r="L18" s="309"/>
      <c r="M18" s="316"/>
      <c r="N18" s="309"/>
      <c r="O18" s="316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</row>
    <row r="19" ht="13.55" customHeight="1">
      <c r="A19" s="7"/>
      <c r="B19" s="7"/>
      <c r="C19" s="309"/>
      <c r="D19" s="309"/>
      <c r="E19" s="316"/>
      <c r="F19" s="309"/>
      <c r="G19" s="317"/>
      <c r="H19" s="309"/>
      <c r="I19" s="316"/>
      <c r="J19" s="309"/>
      <c r="K19" s="317"/>
      <c r="L19" s="309"/>
      <c r="M19" s="317"/>
      <c r="N19" s="309"/>
      <c r="O19" s="317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</row>
    <row r="20" ht="13.5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3.55" customHeight="1">
      <c r="A21" s="7"/>
      <c r="B21" s="7"/>
      <c r="C21" s="309"/>
      <c r="D21" s="309"/>
      <c r="E21" s="7"/>
      <c r="F21" s="309"/>
      <c r="G21" s="7"/>
      <c r="H21" s="309"/>
      <c r="I21" s="7"/>
      <c r="J21" s="309"/>
      <c r="K21" s="7"/>
      <c r="L21" s="309"/>
      <c r="M21" s="7"/>
      <c r="N21" s="309"/>
      <c r="O21" s="7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</row>
    <row r="22" ht="13.55" customHeight="1">
      <c r="A22" s="7"/>
      <c r="B22" s="7"/>
      <c r="C22" s="309"/>
      <c r="D22" s="309"/>
      <c r="E22" s="316"/>
      <c r="F22" s="309"/>
      <c r="G22" s="316"/>
      <c r="H22" s="309"/>
      <c r="I22" s="316"/>
      <c r="J22" s="309"/>
      <c r="K22" s="316"/>
      <c r="L22" s="309"/>
      <c r="M22" s="316"/>
      <c r="N22" s="309"/>
      <c r="O22" s="316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</row>
    <row r="23" ht="13.55" customHeight="1">
      <c r="A23" s="7"/>
      <c r="B23" s="7"/>
      <c r="C23" s="309"/>
      <c r="D23" s="309"/>
      <c r="E23" s="317"/>
      <c r="F23" s="309"/>
      <c r="G23" s="317"/>
      <c r="H23" s="309"/>
      <c r="I23" s="316"/>
      <c r="J23" s="309"/>
      <c r="K23" s="317"/>
      <c r="L23" s="309"/>
      <c r="M23" s="317"/>
      <c r="N23" s="309"/>
      <c r="O23" s="318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</row>
    <row r="24" ht="13.55" customHeight="1">
      <c r="A24" s="7"/>
      <c r="B24" s="7"/>
      <c r="C24" s="309"/>
      <c r="D24" s="309"/>
      <c r="E24" s="316"/>
      <c r="F24" s="309"/>
      <c r="G24" s="7"/>
      <c r="H24" s="309"/>
      <c r="I24" s="316"/>
      <c r="J24" s="309"/>
      <c r="K24" s="7"/>
      <c r="L24" s="309"/>
      <c r="M24" s="7"/>
      <c r="N24" s="309"/>
      <c r="O24" s="7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</row>
    <row r="25" ht="13.55" customHeight="1">
      <c r="A25" s="7"/>
      <c r="B25" s="7"/>
      <c r="C25" s="309"/>
      <c r="D25" s="309"/>
      <c r="E25" s="316"/>
      <c r="F25" s="309"/>
      <c r="G25" s="316"/>
      <c r="H25" s="309"/>
      <c r="I25" s="316"/>
      <c r="J25" s="309"/>
      <c r="K25" s="316"/>
      <c r="L25" s="309"/>
      <c r="M25" s="316"/>
      <c r="N25" s="309"/>
      <c r="O25" s="316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</row>
    <row r="26" ht="13.55" customHeight="1">
      <c r="A26" s="7"/>
      <c r="B26" s="7"/>
      <c r="C26" s="309"/>
      <c r="D26" s="309"/>
      <c r="E26" s="316"/>
      <c r="F26" s="309"/>
      <c r="G26" s="317"/>
      <c r="H26" s="309"/>
      <c r="I26" s="316"/>
      <c r="J26" s="309"/>
      <c r="K26" s="317"/>
      <c r="L26" s="309"/>
      <c r="M26" s="317"/>
      <c r="N26" s="309"/>
      <c r="O26" s="317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</row>
    <row r="27" ht="13.5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3.55" customHeight="1">
      <c r="A28" s="7"/>
      <c r="B28" s="7"/>
      <c r="C28" s="309"/>
      <c r="D28" s="309"/>
      <c r="E28" s="7"/>
      <c r="F28" s="309"/>
      <c r="G28" s="7"/>
      <c r="H28" s="309"/>
      <c r="I28" s="7"/>
      <c r="J28" s="309"/>
      <c r="K28" s="7"/>
      <c r="L28" s="309"/>
      <c r="M28" s="7"/>
      <c r="N28" s="309"/>
      <c r="O28" s="7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</row>
    <row r="29" ht="13.55" customHeight="1">
      <c r="A29" s="7"/>
      <c r="B29" s="7"/>
      <c r="C29" s="309"/>
      <c r="D29" s="309"/>
      <c r="E29" s="316"/>
      <c r="F29" s="309"/>
      <c r="G29" s="316"/>
      <c r="H29" s="309"/>
      <c r="I29" s="316"/>
      <c r="J29" s="309"/>
      <c r="K29" s="316"/>
      <c r="L29" s="309"/>
      <c r="M29" s="316"/>
      <c r="N29" s="309"/>
      <c r="O29" s="316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</row>
    <row r="30" ht="13.55" customHeight="1">
      <c r="A30" s="7"/>
      <c r="B30" s="7"/>
      <c r="C30" s="309"/>
      <c r="D30" s="309"/>
      <c r="E30" s="317"/>
      <c r="F30" s="309"/>
      <c r="G30" s="317"/>
      <c r="H30" s="309"/>
      <c r="I30" s="316"/>
      <c r="J30" s="309"/>
      <c r="K30" s="317"/>
      <c r="L30" s="309"/>
      <c r="M30" s="317"/>
      <c r="N30" s="309"/>
      <c r="O30" s="318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</row>
    <row r="31" ht="13.55" customHeight="1">
      <c r="A31" s="7"/>
      <c r="B31" s="7"/>
      <c r="C31" s="309"/>
      <c r="D31" s="309"/>
      <c r="E31" s="316"/>
      <c r="F31" s="309"/>
      <c r="G31" s="7"/>
      <c r="H31" s="309"/>
      <c r="I31" s="316"/>
      <c r="J31" s="309"/>
      <c r="K31" s="7"/>
      <c r="L31" s="309"/>
      <c r="M31" s="7"/>
      <c r="N31" s="309"/>
      <c r="O31" s="7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</row>
    <row r="32" ht="13.55" customHeight="1">
      <c r="A32" s="7"/>
      <c r="B32" s="7"/>
      <c r="C32" s="309"/>
      <c r="D32" s="309"/>
      <c r="E32" s="316"/>
      <c r="F32" s="309"/>
      <c r="G32" s="316"/>
      <c r="H32" s="309"/>
      <c r="I32" s="316"/>
      <c r="J32" s="309"/>
      <c r="K32" s="316"/>
      <c r="L32" s="309"/>
      <c r="M32" s="316"/>
      <c r="N32" s="309"/>
      <c r="O32" s="316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</row>
    <row r="33" ht="13.55" customHeight="1">
      <c r="A33" s="7"/>
      <c r="B33" s="7"/>
      <c r="C33" s="309"/>
      <c r="D33" s="309"/>
      <c r="E33" s="316"/>
      <c r="F33" s="309"/>
      <c r="G33" s="317"/>
      <c r="H33" s="309"/>
      <c r="I33" s="316"/>
      <c r="J33" s="309"/>
      <c r="K33" s="317"/>
      <c r="L33" s="309"/>
      <c r="M33" s="317"/>
      <c r="N33" s="309"/>
      <c r="O33" s="317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</row>
    <row r="34" ht="13.5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3.55" customHeight="1">
      <c r="A35" s="7"/>
      <c r="B35" s="7"/>
      <c r="C35" s="309"/>
      <c r="D35" s="309"/>
      <c r="E35" s="7"/>
      <c r="F35" s="309"/>
      <c r="G35" s="7"/>
      <c r="H35" s="309"/>
      <c r="I35" s="7"/>
      <c r="J35" s="309"/>
      <c r="K35" s="7"/>
      <c r="L35" s="309"/>
      <c r="M35" s="7"/>
      <c r="N35" s="309"/>
      <c r="O35" s="7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</row>
    <row r="36" ht="13.55" customHeight="1">
      <c r="A36" s="7"/>
      <c r="B36" s="7"/>
      <c r="C36" s="309"/>
      <c r="D36" s="309"/>
      <c r="E36" s="316"/>
      <c r="F36" s="309"/>
      <c r="G36" s="316"/>
      <c r="H36" s="309"/>
      <c r="I36" s="316"/>
      <c r="J36" s="309"/>
      <c r="K36" s="316"/>
      <c r="L36" s="309"/>
      <c r="M36" s="316"/>
      <c r="N36" s="309"/>
      <c r="O36" s="316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</row>
    <row r="37" ht="13.55" customHeight="1">
      <c r="A37" s="7"/>
      <c r="B37" s="7"/>
      <c r="C37" s="309"/>
      <c r="D37" s="309"/>
      <c r="E37" s="317"/>
      <c r="F37" s="309"/>
      <c r="G37" s="317"/>
      <c r="H37" s="309"/>
      <c r="I37" s="316"/>
      <c r="J37" s="309"/>
      <c r="K37" s="317"/>
      <c r="L37" s="309"/>
      <c r="M37" s="317"/>
      <c r="N37" s="309"/>
      <c r="O37" s="318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</row>
    <row r="38" ht="13.55" customHeight="1">
      <c r="A38" s="7"/>
      <c r="B38" s="7"/>
      <c r="C38" s="309"/>
      <c r="D38" s="309"/>
      <c r="E38" s="316"/>
      <c r="F38" s="309"/>
      <c r="G38" s="7"/>
      <c r="H38" s="309"/>
      <c r="I38" s="316"/>
      <c r="J38" s="309"/>
      <c r="K38" s="7"/>
      <c r="L38" s="309"/>
      <c r="M38" s="7"/>
      <c r="N38" s="309"/>
      <c r="O38" s="7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</row>
    <row r="39" ht="13.55" customHeight="1">
      <c r="A39" s="7"/>
      <c r="B39" s="7"/>
      <c r="C39" s="309"/>
      <c r="D39" s="309"/>
      <c r="E39" s="316"/>
      <c r="F39" s="309"/>
      <c r="G39" s="316"/>
      <c r="H39" s="309"/>
      <c r="I39" s="316"/>
      <c r="J39" s="309"/>
      <c r="K39" s="316"/>
      <c r="L39" s="309"/>
      <c r="M39" s="316"/>
      <c r="N39" s="309"/>
      <c r="O39" s="316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</row>
    <row r="40" ht="13.55" customHeight="1">
      <c r="A40" s="7"/>
      <c r="B40" s="7"/>
      <c r="C40" s="309"/>
      <c r="D40" s="309"/>
      <c r="E40" s="316"/>
      <c r="F40" s="309"/>
      <c r="G40" s="317"/>
      <c r="H40" s="309"/>
      <c r="I40" s="316"/>
      <c r="J40" s="309"/>
      <c r="K40" s="317"/>
      <c r="L40" s="309"/>
      <c r="M40" s="317"/>
      <c r="N40" s="309"/>
      <c r="O40" s="317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</row>
    <row r="41" ht="13.5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3.55" customHeight="1">
      <c r="A42" s="7"/>
      <c r="B42" s="7"/>
      <c r="C42" s="309"/>
      <c r="D42" s="309"/>
      <c r="E42" s="7"/>
      <c r="F42" s="309"/>
      <c r="G42" s="7"/>
      <c r="H42" s="309"/>
      <c r="I42" s="7"/>
      <c r="J42" s="309"/>
      <c r="K42" s="7"/>
      <c r="L42" s="309"/>
      <c r="M42" s="7"/>
      <c r="N42" s="309"/>
      <c r="O42" s="7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</row>
    <row r="43" ht="13.55" customHeight="1">
      <c r="A43" s="7"/>
      <c r="B43" s="7"/>
      <c r="C43" s="309"/>
      <c r="D43" s="309"/>
      <c r="E43" s="316"/>
      <c r="F43" s="309"/>
      <c r="G43" s="316"/>
      <c r="H43" s="309"/>
      <c r="I43" s="316"/>
      <c r="J43" s="309"/>
      <c r="K43" s="316"/>
      <c r="L43" s="309"/>
      <c r="M43" s="316"/>
      <c r="N43" s="309"/>
      <c r="O43" s="316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</row>
    <row r="44" ht="13.55" customHeight="1">
      <c r="A44" s="7"/>
      <c r="B44" s="7"/>
      <c r="C44" s="309"/>
      <c r="D44" s="309"/>
      <c r="E44" s="317"/>
      <c r="F44" s="309"/>
      <c r="G44" s="317"/>
      <c r="H44" s="309"/>
      <c r="I44" s="316"/>
      <c r="J44" s="309"/>
      <c r="K44" s="317"/>
      <c r="L44" s="309"/>
      <c r="M44" s="317"/>
      <c r="N44" s="309"/>
      <c r="O44" s="318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</row>
    <row r="45" ht="13.55" customHeight="1">
      <c r="A45" s="7"/>
      <c r="B45" s="7"/>
      <c r="C45" s="309"/>
      <c r="D45" s="309"/>
      <c r="E45" s="316"/>
      <c r="F45" s="309"/>
      <c r="G45" s="7"/>
      <c r="H45" s="309"/>
      <c r="I45" s="316"/>
      <c r="J45" s="309"/>
      <c r="K45" s="7"/>
      <c r="L45" s="309"/>
      <c r="M45" s="7"/>
      <c r="N45" s="309"/>
      <c r="O45" s="7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</row>
    <row r="46" ht="13.55" customHeight="1">
      <c r="A46" s="7"/>
      <c r="B46" s="7"/>
      <c r="C46" s="309"/>
      <c r="D46" s="309"/>
      <c r="E46" s="316"/>
      <c r="F46" s="309"/>
      <c r="G46" s="316"/>
      <c r="H46" s="309"/>
      <c r="I46" s="316"/>
      <c r="J46" s="309"/>
      <c r="K46" s="316"/>
      <c r="L46" s="309"/>
      <c r="M46" s="316"/>
      <c r="N46" s="309"/>
      <c r="O46" s="316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</row>
    <row r="47" ht="13.55" customHeight="1">
      <c r="A47" s="7"/>
      <c r="B47" s="7"/>
      <c r="C47" s="309"/>
      <c r="D47" s="309"/>
      <c r="E47" s="316"/>
      <c r="F47" s="309"/>
      <c r="G47" s="317"/>
      <c r="H47" s="309"/>
      <c r="I47" s="316"/>
      <c r="J47" s="309"/>
      <c r="K47" s="317"/>
      <c r="L47" s="309"/>
      <c r="M47" s="317"/>
      <c r="N47" s="309"/>
      <c r="O47" s="317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</row>
    <row r="48" ht="13.5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3.55" customHeight="1">
      <c r="A49" s="7"/>
      <c r="B49" s="7"/>
      <c r="C49" s="309"/>
      <c r="D49" s="309"/>
      <c r="E49" s="7"/>
      <c r="F49" s="309"/>
      <c r="G49" s="7"/>
      <c r="H49" s="309"/>
      <c r="I49" s="7"/>
      <c r="J49" s="309"/>
      <c r="K49" s="7"/>
      <c r="L49" s="309"/>
      <c r="M49" s="7"/>
      <c r="N49" s="309"/>
      <c r="O49" s="7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</row>
    <row r="50" ht="13.55" customHeight="1">
      <c r="A50" s="7"/>
      <c r="B50" s="7"/>
      <c r="C50" s="309"/>
      <c r="D50" s="309"/>
      <c r="E50" s="316"/>
      <c r="F50" s="309"/>
      <c r="G50" s="316"/>
      <c r="H50" s="309"/>
      <c r="I50" s="316"/>
      <c r="J50" s="309"/>
      <c r="K50" s="316"/>
      <c r="L50" s="309"/>
      <c r="M50" s="316"/>
      <c r="N50" s="309"/>
      <c r="O50" s="316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</row>
    <row r="51" ht="13.55" customHeight="1">
      <c r="A51" s="7"/>
      <c r="B51" s="7"/>
      <c r="C51" s="309"/>
      <c r="D51" s="309"/>
      <c r="E51" s="317"/>
      <c r="F51" s="309"/>
      <c r="G51" s="317"/>
      <c r="H51" s="309"/>
      <c r="I51" s="316"/>
      <c r="J51" s="309"/>
      <c r="K51" s="317"/>
      <c r="L51" s="309"/>
      <c r="M51" s="317"/>
      <c r="N51" s="309"/>
      <c r="O51" s="318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</row>
    <row r="52" ht="13.55" customHeight="1">
      <c r="A52" s="7"/>
      <c r="B52" s="7"/>
      <c r="C52" s="309"/>
      <c r="D52" s="309"/>
      <c r="E52" s="316"/>
      <c r="F52" s="309"/>
      <c r="G52" s="7"/>
      <c r="H52" s="309"/>
      <c r="I52" s="316"/>
      <c r="J52" s="309"/>
      <c r="K52" s="7"/>
      <c r="L52" s="309"/>
      <c r="M52" s="7"/>
      <c r="N52" s="309"/>
      <c r="O52" s="7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309"/>
    </row>
    <row r="53" ht="13.55" customHeight="1">
      <c r="A53" s="7"/>
      <c r="B53" s="7"/>
      <c r="C53" s="309"/>
      <c r="D53" s="309"/>
      <c r="E53" s="316"/>
      <c r="F53" s="309"/>
      <c r="G53" s="316"/>
      <c r="H53" s="309"/>
      <c r="I53" s="316"/>
      <c r="J53" s="309"/>
      <c r="K53" s="316"/>
      <c r="L53" s="309"/>
      <c r="M53" s="316"/>
      <c r="N53" s="309"/>
      <c r="O53" s="316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</row>
    <row r="54" ht="13.55" customHeight="1">
      <c r="A54" s="7"/>
      <c r="B54" s="7"/>
      <c r="C54" s="309"/>
      <c r="D54" s="309"/>
      <c r="E54" s="316"/>
      <c r="F54" s="309"/>
      <c r="G54" s="317"/>
      <c r="H54" s="309"/>
      <c r="I54" s="316"/>
      <c r="J54" s="309"/>
      <c r="K54" s="317"/>
      <c r="L54" s="309"/>
      <c r="M54" s="317"/>
      <c r="N54" s="309"/>
      <c r="O54" s="317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</row>
    <row r="55" ht="13.5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3.55" customHeight="1">
      <c r="A56" s="7"/>
      <c r="B56" s="7"/>
      <c r="C56" s="309"/>
      <c r="D56" s="309"/>
      <c r="E56" s="7"/>
      <c r="F56" s="309"/>
      <c r="G56" s="7"/>
      <c r="H56" s="309"/>
      <c r="I56" s="7"/>
      <c r="J56" s="309"/>
      <c r="K56" s="7"/>
      <c r="L56" s="309"/>
      <c r="M56" s="7"/>
      <c r="N56" s="309"/>
      <c r="O56" s="7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</row>
    <row r="57" ht="13.55" customHeight="1">
      <c r="A57" s="7"/>
      <c r="B57" s="7"/>
      <c r="C57" s="309"/>
      <c r="D57" s="309"/>
      <c r="E57" s="316"/>
      <c r="F57" s="309"/>
      <c r="G57" s="316"/>
      <c r="H57" s="309"/>
      <c r="I57" s="316"/>
      <c r="J57" s="309"/>
      <c r="K57" s="316"/>
      <c r="L57" s="309"/>
      <c r="M57" s="316"/>
      <c r="N57" s="309"/>
      <c r="O57" s="316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  <c r="AA57" s="309"/>
    </row>
    <row r="58" ht="13.55" customHeight="1">
      <c r="A58" s="7"/>
      <c r="B58" s="7"/>
      <c r="C58" s="309"/>
      <c r="D58" s="309"/>
      <c r="E58" s="317"/>
      <c r="F58" s="309"/>
      <c r="G58" s="317"/>
      <c r="H58" s="309"/>
      <c r="I58" s="316"/>
      <c r="J58" s="309"/>
      <c r="K58" s="317"/>
      <c r="L58" s="309"/>
      <c r="M58" s="317"/>
      <c r="N58" s="309"/>
      <c r="O58" s="318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309"/>
    </row>
    <row r="59" ht="13.55" customHeight="1">
      <c r="A59" s="7"/>
      <c r="B59" s="7"/>
      <c r="C59" s="309"/>
      <c r="D59" s="309"/>
      <c r="E59" s="316"/>
      <c r="F59" s="309"/>
      <c r="G59" s="7"/>
      <c r="H59" s="309"/>
      <c r="I59" s="316"/>
      <c r="J59" s="309"/>
      <c r="K59" s="7"/>
      <c r="L59" s="309"/>
      <c r="M59" s="7"/>
      <c r="N59" s="309"/>
      <c r="O59" s="7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</row>
    <row r="60" ht="13.55" customHeight="1">
      <c r="A60" s="7"/>
      <c r="B60" s="7"/>
      <c r="C60" s="309"/>
      <c r="D60" s="309"/>
      <c r="E60" s="316"/>
      <c r="F60" s="309"/>
      <c r="G60" s="316"/>
      <c r="H60" s="309"/>
      <c r="I60" s="316"/>
      <c r="J60" s="309"/>
      <c r="K60" s="316"/>
      <c r="L60" s="309"/>
      <c r="M60" s="316"/>
      <c r="N60" s="309"/>
      <c r="O60" s="316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309"/>
    </row>
    <row r="61" ht="13.55" customHeight="1">
      <c r="A61" s="7"/>
      <c r="B61" s="7"/>
      <c r="C61" s="309"/>
      <c r="D61" s="309"/>
      <c r="E61" s="316"/>
      <c r="F61" s="309"/>
      <c r="G61" s="317"/>
      <c r="H61" s="309"/>
      <c r="I61" s="316"/>
      <c r="J61" s="309"/>
      <c r="K61" s="317"/>
      <c r="L61" s="309"/>
      <c r="M61" s="317"/>
      <c r="N61" s="309"/>
      <c r="O61" s="317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309"/>
    </row>
  </sheetData>
  <mergeCells count="1">
    <mergeCell ref="B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